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mukh\OneDrive\Desktop\"/>
    </mc:Choice>
  </mc:AlternateContent>
  <xr:revisionPtr revIDLastSave="0" documentId="8_{A3076B11-4498-41DF-A345-6D7F24814D4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00 Dashboard" sheetId="7" r:id="rId1"/>
    <sheet name="01 Scenario_Editor" sheetId="8" r:id="rId2"/>
    <sheet name="02 Nodes_Economics" sheetId="9" r:id="rId3"/>
    <sheet name="03 Pathway_Optimiser" sheetId="10" r:id="rId4"/>
    <sheet name="04 Investment_Planner" sheetId="11" r:id="rId5"/>
    <sheet name="05 Source_Snapshot" sheetId="12" r:id="rId6"/>
  </sheets>
  <calcPr calcId="191029"/>
  <fileRecoveryPr repairLoad="1"/>
</workbook>
</file>

<file path=xl/calcChain.xml><?xml version="1.0" encoding="utf-8"?>
<calcChain xmlns="http://schemas.openxmlformats.org/spreadsheetml/2006/main">
  <c r="I10" i="10" l="1"/>
  <c r="H10" i="10"/>
  <c r="G10" i="10"/>
  <c r="D10" i="10"/>
  <c r="H9" i="10"/>
  <c r="G9" i="10"/>
  <c r="I9" i="10" s="1"/>
  <c r="E34" i="7" s="1"/>
  <c r="F9" i="10"/>
  <c r="D9" i="10"/>
  <c r="H8" i="10"/>
  <c r="G8" i="10"/>
  <c r="I8" i="10" s="1"/>
  <c r="E33" i="7" s="1"/>
  <c r="F8" i="10"/>
  <c r="D8" i="10"/>
  <c r="H7" i="10"/>
  <c r="I7" i="10" s="1"/>
  <c r="E32" i="7" s="1"/>
  <c r="G7" i="10"/>
  <c r="F7" i="10"/>
  <c r="D7" i="10"/>
  <c r="H6" i="10"/>
  <c r="G6" i="10"/>
  <c r="D31" i="7" s="1"/>
  <c r="F6" i="10"/>
  <c r="D6" i="10"/>
  <c r="H5" i="10"/>
  <c r="F5" i="10"/>
  <c r="G5" i="10" s="1"/>
  <c r="D5" i="10"/>
  <c r="H4" i="10"/>
  <c r="I4" i="10" s="1"/>
  <c r="E29" i="7" s="1"/>
  <c r="G4" i="10"/>
  <c r="D4" i="10"/>
  <c r="J18" i="9"/>
  <c r="H18" i="9"/>
  <c r="H17" i="9"/>
  <c r="J17" i="9" s="1"/>
  <c r="J16" i="9"/>
  <c r="H16" i="9"/>
  <c r="J15" i="9"/>
  <c r="H15" i="9"/>
  <c r="J14" i="9"/>
  <c r="H14" i="9"/>
  <c r="H13" i="9"/>
  <c r="J13" i="9" s="1"/>
  <c r="H12" i="9"/>
  <c r="J12" i="9" s="1"/>
  <c r="H11" i="9"/>
  <c r="J11" i="9" s="1"/>
  <c r="J10" i="9"/>
  <c r="H10" i="9"/>
  <c r="H9" i="9"/>
  <c r="J9" i="9" s="1"/>
  <c r="J8" i="9"/>
  <c r="H8" i="9"/>
  <c r="J7" i="9"/>
  <c r="H7" i="9"/>
  <c r="J6" i="9"/>
  <c r="H6" i="9"/>
  <c r="H5" i="9"/>
  <c r="J5" i="9" s="1"/>
  <c r="H4" i="9"/>
  <c r="J4" i="9" s="1"/>
  <c r="J5" i="8"/>
  <c r="N5" i="8" s="1"/>
  <c r="G35" i="7"/>
  <c r="F35" i="7"/>
  <c r="E35" i="7"/>
  <c r="D35" i="7"/>
  <c r="C35" i="7"/>
  <c r="B35" i="7"/>
  <c r="G34" i="7"/>
  <c r="F34" i="7"/>
  <c r="D34" i="7"/>
  <c r="C34" i="7"/>
  <c r="B34" i="7"/>
  <c r="G33" i="7"/>
  <c r="F33" i="7"/>
  <c r="D33" i="7"/>
  <c r="C33" i="7"/>
  <c r="B33" i="7"/>
  <c r="G32" i="7"/>
  <c r="F32" i="7"/>
  <c r="D32" i="7"/>
  <c r="C32" i="7"/>
  <c r="B32" i="7"/>
  <c r="G31" i="7"/>
  <c r="F31" i="7"/>
  <c r="C31" i="7"/>
  <c r="B31" i="7"/>
  <c r="G30" i="7"/>
  <c r="F30" i="7"/>
  <c r="C30" i="7"/>
  <c r="B30" i="7"/>
  <c r="G29" i="7"/>
  <c r="F29" i="7"/>
  <c r="D29" i="7"/>
  <c r="C29" i="7"/>
  <c r="B29" i="7"/>
  <c r="D30" i="7" l="1"/>
  <c r="I5" i="10"/>
  <c r="E30" i="7" s="1"/>
  <c r="L5" i="8"/>
  <c r="O5" i="8"/>
  <c r="P5" i="8"/>
  <c r="Q5" i="8"/>
  <c r="I6" i="10"/>
  <c r="E31" i="7" s="1"/>
  <c r="K5" i="8"/>
  <c r="M5" i="8"/>
  <c r="N10" i="10" l="1"/>
  <c r="N9" i="10"/>
  <c r="N8" i="10"/>
  <c r="N4" i="10"/>
  <c r="N6" i="10"/>
  <c r="N5" i="10"/>
  <c r="N7" i="10"/>
  <c r="H29" i="7" l="1"/>
  <c r="O4" i="10"/>
  <c r="H31" i="7"/>
  <c r="O6" i="10"/>
  <c r="A31" i="7" s="1"/>
  <c r="H33" i="7"/>
  <c r="O8" i="10"/>
  <c r="A33" i="7" s="1"/>
  <c r="O5" i="10"/>
  <c r="A30" i="7" s="1"/>
  <c r="H30" i="7"/>
  <c r="O9" i="10"/>
  <c r="A34" i="7" s="1"/>
  <c r="H34" i="7"/>
  <c r="O7" i="10"/>
  <c r="A32" i="7" s="1"/>
  <c r="H32" i="7"/>
  <c r="O10" i="10"/>
  <c r="A35" i="7" s="1"/>
  <c r="H35" i="7"/>
  <c r="E8" i="7" l="1"/>
  <c r="B8" i="7"/>
  <c r="H7" i="7"/>
  <c r="E7" i="7"/>
  <c r="B7" i="7"/>
  <c r="N7" i="7"/>
  <c r="K7" i="7"/>
  <c r="A29" i="7"/>
  <c r="H8" i="7"/>
  <c r="N8" i="7"/>
  <c r="K8" i="7"/>
</calcChain>
</file>

<file path=xl/sharedStrings.xml><?xml version="1.0" encoding="utf-8"?>
<sst xmlns="http://schemas.openxmlformats.org/spreadsheetml/2006/main" count="496" uniqueCount="365">
  <si>
    <t>Retailer</t>
  </si>
  <si>
    <t>Farmer</t>
  </si>
  <si>
    <t>SHG</t>
  </si>
  <si>
    <t>Stage</t>
  </si>
  <si>
    <t>Product Form</t>
  </si>
  <si>
    <t>Buyer Type</t>
  </si>
  <si>
    <t>Market Location</t>
  </si>
  <si>
    <t>Farmer Level</t>
  </si>
  <si>
    <t>Fresh Raw Turmeric</t>
  </si>
  <si>
    <t>Kandhamal</t>
  </si>
  <si>
    <t>Trader</t>
  </si>
  <si>
    <t>Processor</t>
  </si>
  <si>
    <t>Drying Stage</t>
  </si>
  <si>
    <t>Dried Fingers</t>
  </si>
  <si>
    <t>Wholesaler</t>
  </si>
  <si>
    <t>Kalahandi</t>
  </si>
  <si>
    <t>Sack</t>
  </si>
  <si>
    <t>Processing Stage</t>
  </si>
  <si>
    <t>Polished Fingers</t>
  </si>
  <si>
    <t>Distributor</t>
  </si>
  <si>
    <t>Bagged</t>
  </si>
  <si>
    <t>Powder Processing</t>
  </si>
  <si>
    <t>Turmeric Powder</t>
  </si>
  <si>
    <t>Retail Pack</t>
  </si>
  <si>
    <t>Retail Market</t>
  </si>
  <si>
    <t>Packed Powder</t>
  </si>
  <si>
    <t>Consumer</t>
  </si>
  <si>
    <t>100g/250g/500g</t>
  </si>
  <si>
    <t>Parameter</t>
  </si>
  <si>
    <t>Observation</t>
  </si>
  <si>
    <t>Main Brands</t>
  </si>
  <si>
    <t>Bharat Masala, Everest, Ruchi</t>
  </si>
  <si>
    <t>Most Preferred Brand</t>
  </si>
  <si>
    <t>Bharat Masala</t>
  </si>
  <si>
    <t>Reason for Preference</t>
  </si>
  <si>
    <t>Average Turmeric Sold per Kirana Store</t>
  </si>
  <si>
    <t>Average Purchase Quantity</t>
  </si>
  <si>
    <t>Fast Moving SKUs</t>
  </si>
  <si>
    <t>Consumer Preference</t>
  </si>
  <si>
    <t>Small affordable sachets</t>
  </si>
  <si>
    <t>Retailer Margin - Bharat Masala</t>
  </si>
  <si>
    <t>Market Opportunity</t>
  </si>
  <si>
    <t>Strong rural demand for low-ticket packs</t>
  </si>
  <si>
    <t>Retailer Feedback on Seba Jagat</t>
  </si>
  <si>
    <t>Key Insight</t>
  </si>
  <si>
    <t>Retailers prioritize profitability over brand loyalty</t>
  </si>
  <si>
    <t>TURMERIC VALUE CHAIN OPTIMISER – KALAHANDI</t>
  </si>
  <si>
    <t>Purpose: maximise farmer and women SHG earnings while keeping market price, demand and investment realistic. Seba Jagat is treated as facilitator, not a profit centre.</t>
  </si>
  <si>
    <t>Scenario selector</t>
  </si>
  <si>
    <t>Balanced Farmer + SHG Benefit</t>
  </si>
  <si>
    <t>Scenario buttons are implemented as a dropdown in B4. Choose: Max Farmer, Max SHG, Lowest Investment, Market Penetration, Retail Competitive, Direct-to-Customer, Wellness, or Balanced.</t>
  </si>
  <si>
    <t>Optimised Recommendation</t>
  </si>
  <si>
    <t>Best pathway</t>
  </si>
  <si>
    <t>Farmer price ₹/kg</t>
  </si>
  <si>
    <t>SHG net gain ₹/kg</t>
  </si>
  <si>
    <t>SHG monthly earning</t>
  </si>
  <si>
    <t>Investment</t>
  </si>
  <si>
    <t>Description</t>
  </si>
  <si>
    <t>Market fit</t>
  </si>
  <si>
    <t>Risk</t>
  </si>
  <si>
    <t>Demand</t>
  </si>
  <si>
    <t>Score</t>
  </si>
  <si>
    <t>Edit inputs in</t>
  </si>
  <si>
    <t>01 Scenario_Editor</t>
  </si>
  <si>
    <t>Edit node rates in</t>
  </si>
  <si>
    <t>02 Nodes_Economics</t>
  </si>
  <si>
    <t>Review ranking in</t>
  </si>
  <si>
    <t>03 Pathway_Optimiser</t>
  </si>
  <si>
    <t>Investment steps in</t>
  </si>
  <si>
    <t>04 Investment_Planner</t>
  </si>
  <si>
    <t>Source data in</t>
  </si>
  <si>
    <t>05 Source_Snapshot</t>
  </si>
  <si>
    <t>Primary decision</t>
  </si>
  <si>
    <t>Prioritise SHG direct + retail mix when market access is available; use SJ as quality/process facilitator.</t>
  </si>
  <si>
    <t>Current Pathways – visual flow cards with node price points</t>
  </si>
  <si>
    <t>P1 Conventional</t>
  </si>
  <si>
    <t>Farmer
Dried ₹120/kg</t>
  </si>
  <si>
    <t>→</t>
  </si>
  <si>
    <t>Sourcing Trader
₹135/kg</t>
  </si>
  <si>
    <t>Processing Unit
₹180/kg</t>
  </si>
  <si>
    <t>Distributor
₹200/kg</t>
  </si>
  <si>
    <t>Retailer
₹240/kg</t>
  </si>
  <si>
    <t>Customer</t>
  </si>
  <si>
    <t>Trader-led, low farmer/SHG capture</t>
  </si>
  <si>
    <t>P2 Seba Jagat Retail</t>
  </si>
  <si>
    <t>Trader/SHG
₹135/kg</t>
  </si>
  <si>
    <t>SJ Processing
₹180/kg</t>
  </si>
  <si>
    <t>Distribution
₹200/kg</t>
  </si>
  <si>
    <t>SJ facilitates processing, not profit maximiser</t>
  </si>
  <si>
    <t>P3 SHG Direct</t>
  </si>
  <si>
    <t>Farmer
Dried ₹135/kg</t>
  </si>
  <si>
    <t>Women SHG Sourcing
₹145/kg</t>
  </si>
  <si>
    <t>SHG/SJ Processing
₹190/kg</t>
  </si>
  <si>
    <t>Women Network
₹250/kg</t>
  </si>
  <si>
    <t>Highest retained value if demand is built</t>
  </si>
  <si>
    <t>Pathway Ranking under selected scenario</t>
  </si>
  <si>
    <t>Rank</t>
  </si>
  <si>
    <t>Pathway</t>
  </si>
  <si>
    <t>Farmer ₹/kg</t>
  </si>
  <si>
    <t>SHG ₹/kg</t>
  </si>
  <si>
    <t>SHG monthly ₹</t>
  </si>
  <si>
    <t>Investment ₹</t>
  </si>
  <si>
    <t>How to use the tool</t>
  </si>
  <si>
    <t>1</t>
  </si>
  <si>
    <t>Change scenario in B4 or weights in Scenario_Editor.</t>
  </si>
  <si>
    <t>2</t>
  </si>
  <si>
    <t>Edit prices/costs in Scenario_Editor, Nodes_Economics or Pathway_Optimiser.</t>
  </si>
  <si>
    <t>3</t>
  </si>
  <si>
    <t>Compare SHG monthly earning, investment and risk.</t>
  </si>
  <si>
    <t>4</t>
  </si>
  <si>
    <t>Use lowest investment route first, then shift SHGs into processing/packing/distribution after demand is proven.</t>
  </si>
  <si>
    <t>5</t>
  </si>
  <si>
    <t>Seba Jagat should facilitate quality, SOPs, processing access, FSSAI/testing and market discipline.</t>
  </si>
  <si>
    <t>6</t>
  </si>
  <si>
    <t>The optimiser is a decision aid; verify demand and cash-flow before committing capital.</t>
  </si>
  <si>
    <t>Turmeric Value Chain Scenario Editor</t>
  </si>
  <si>
    <t>Common editable assumptions</t>
  </si>
  <si>
    <t>Value</t>
  </si>
  <si>
    <t>Selected scenario weights used by optimiser</t>
  </si>
  <si>
    <t>Monthly dried turmeric available for modelling (kg)</t>
  </si>
  <si>
    <t>Selected scenario</t>
  </si>
  <si>
    <t>Farmer gain</t>
  </si>
  <si>
    <t>SHG gain</t>
  </si>
  <si>
    <t>Investment penalty</t>
  </si>
  <si>
    <t>Risk penalty</t>
  </si>
  <si>
    <t>Demand strength</t>
  </si>
  <si>
    <t>Note</t>
  </si>
  <si>
    <t>Baseline farmer sale price (₹/kg dried)</t>
  </si>
  <si>
    <t>Fresh-to-dry conversion ratio (fresh kg per 1 kg dry)</t>
  </si>
  <si>
    <t>Dry-to-powder recovery (%)</t>
  </si>
  <si>
    <t>Processing cost (₹/kg dry input)</t>
  </si>
  <si>
    <t>Polishing/cleaning/handling cost (₹/kg)</t>
  </si>
  <si>
    <t>Packaging cost 50g/100g/200g/1kg weighted avg (₹/kg)</t>
  </si>
  <si>
    <t>Distribution cost retail route (₹/kg)</t>
  </si>
  <si>
    <t>Distribution cost direct route (₹/kg)</t>
  </si>
  <si>
    <t>Retailer/dealer margin expected (₹/kg)</t>
  </si>
  <si>
    <t>Women network commission/direct selling cost (₹/kg)</t>
  </si>
  <si>
    <t>Working capital days</t>
  </si>
  <si>
    <t>Interest / opportunity cost per annum</t>
  </si>
  <si>
    <t>Minimum acceptable farmer price (₹/kg dried)</t>
  </si>
  <si>
    <t>Selected Weight</t>
  </si>
  <si>
    <t>Scenario linked from Dashboard</t>
  </si>
  <si>
    <t>Scenario weights - editable; Dashboard selector uses these rows</t>
  </si>
  <si>
    <t>Scenario</t>
  </si>
  <si>
    <t>Farmer gain weight</t>
  </si>
  <si>
    <t>SHG gain weight</t>
  </si>
  <si>
    <t>Market fit weight</t>
  </si>
  <si>
    <t>Demand weight</t>
  </si>
  <si>
    <t>Maximise Farmer Income</t>
  </si>
  <si>
    <t>Prioritises dried price to farmers and SHG procurement</t>
  </si>
  <si>
    <t>Maximise SHG Income</t>
  </si>
  <si>
    <t>Prioritises SHG net margin and owned stages</t>
  </si>
  <si>
    <t>Lowest Investment Path</t>
  </si>
  <si>
    <t>Prioritises manageable capital and low risk</t>
  </si>
  <si>
    <t>Highest Market Penetration</t>
  </si>
  <si>
    <t>Prioritises low-price/high-demand SKUs</t>
  </si>
  <si>
    <t>Retail Competitive Price</t>
  </si>
  <si>
    <t>Matches local kirana economics</t>
  </si>
  <si>
    <t>Direct-to-Customer Strategy</t>
  </si>
  <si>
    <t>Pushes women network/direct sales</t>
  </si>
  <si>
    <t>Wellness Product Strategy</t>
  </si>
  <si>
    <t>Premium products, lower volume, higher branding needs</t>
  </si>
  <si>
    <t>Balanced inclusive village economy</t>
  </si>
  <si>
    <t>Flexible SHG stage ownership options</t>
  </si>
  <si>
    <t>Can SHG own?</t>
  </si>
  <si>
    <t>Low investment mode</t>
  </si>
  <si>
    <t>Higher investment mode</t>
  </si>
  <si>
    <t>Typical cost ₹/kg</t>
  </si>
  <si>
    <t>Market/control benefit</t>
  </si>
  <si>
    <t>Notes</t>
  </si>
  <si>
    <t>Sourcing/Aggregation</t>
  </si>
  <si>
    <t>Yes</t>
  </si>
  <si>
    <t>Village procurement + grading</t>
  </si>
  <si>
    <t>Digital weighing + aggregation centre</t>
  </si>
  <si>
    <t>Higher farmer price, traceability</t>
  </si>
  <si>
    <t>Low</t>
  </si>
  <si>
    <t>Good first move</t>
  </si>
  <si>
    <t>Boiling/Drying</t>
  </si>
  <si>
    <t>Shared dryers/sun-drying protocol</t>
  </si>
  <si>
    <t>Improved dryer and moisture control</t>
  </si>
  <si>
    <t>Improves quality and price</t>
  </si>
  <si>
    <t>Medium</t>
  </si>
  <si>
    <t>Needs SOP</t>
  </si>
  <si>
    <t>Processing/Powdering</t>
  </si>
  <si>
    <t>Use Seba Jagat unit as service</t>
  </si>
  <si>
    <t>Own pulveriser/processing unit</t>
  </si>
  <si>
    <t>Captures processing margin</t>
  </si>
  <si>
    <t>Start service-based</t>
  </si>
  <si>
    <t>Packing/Branding</t>
  </si>
  <si>
    <t>Manual/semi-auto packing</t>
  </si>
  <si>
    <t>FSSAI, branding, sealing, coding</t>
  </si>
  <si>
    <t>Captures SKU premium</t>
  </si>
  <si>
    <t>Quality consistency important</t>
  </si>
  <si>
    <t>Distribution</t>
  </si>
  <si>
    <t>Women sales network</t>
  </si>
  <si>
    <t>Dealer/retailer network</t>
  </si>
  <si>
    <t>Improves reach</t>
  </si>
  <si>
    <t>Needs follow-up discipline</t>
  </si>
  <si>
    <t>Retail/Direct Sales</t>
  </si>
  <si>
    <t>SHG/women network orders</t>
  </si>
  <si>
    <t>Retail kiosks/e-commerce/local institutions</t>
  </si>
  <si>
    <t>Maximum retained value</t>
  </si>
  <si>
    <t>High</t>
  </si>
  <si>
    <t>Demand building needed</t>
  </si>
  <si>
    <t>Wellness Value Addition</t>
  </si>
  <si>
    <t>Possible</t>
  </si>
  <si>
    <t>Small batches</t>
  </si>
  <si>
    <t>Certified premium products</t>
  </si>
  <si>
    <t>Higher price realization</t>
  </si>
  <si>
    <t>Only after base market fit</t>
  </si>
  <si>
    <t>Current Flow Map and Node Economics</t>
  </si>
  <si>
    <t>Node Order</t>
  </si>
  <si>
    <t>Actor / Node</t>
  </si>
  <si>
    <t>Product handled</t>
  </si>
  <si>
    <t>Buys at ₹/kg</t>
  </si>
  <si>
    <t>Adds cost ₹/kg</t>
  </si>
  <si>
    <t>Sells at ₹/kg</t>
  </si>
  <si>
    <t>Margin ₹/kg</t>
  </si>
  <si>
    <t>Monthly volume kg</t>
  </si>
  <si>
    <t>Monthly earning ₹</t>
  </si>
  <si>
    <t>Beneficiary</t>
  </si>
  <si>
    <t>Editable Notes</t>
  </si>
  <si>
    <t>Dried turmeric</t>
  </si>
  <si>
    <t>Current farmer dried sale</t>
  </si>
  <si>
    <t>Sourcing Trader</t>
  </si>
  <si>
    <t>Trader aggregation margin</t>
  </si>
  <si>
    <t>Processing Unit</t>
  </si>
  <si>
    <t>Loose/processed powder</t>
  </si>
  <si>
    <t>Processing and recovery included</t>
  </si>
  <si>
    <t>Packed/loose powder</t>
  </si>
  <si>
    <t>Distribution margin</t>
  </si>
  <si>
    <t>Packed powder</t>
  </si>
  <si>
    <t>Retail consumer price</t>
  </si>
  <si>
    <t>Current baseline</t>
  </si>
  <si>
    <t>Trader/SHG Aggregator</t>
  </si>
  <si>
    <t>Trader/SHG</t>
  </si>
  <si>
    <t>Aggregation can shift to SHG</t>
  </si>
  <si>
    <t>Seba Jagat Processing Centre</t>
  </si>
  <si>
    <t>Powder</t>
  </si>
  <si>
    <t>Facilitator/SHG</t>
  </si>
  <si>
    <t>SJ as facilitator; surplus can support SHG operations</t>
  </si>
  <si>
    <t>Distribution Channel</t>
  </si>
  <si>
    <t>Distributor/SHG</t>
  </si>
  <si>
    <t>SHG may own distribution</t>
  </si>
  <si>
    <t>SKU packs</t>
  </si>
  <si>
    <t>Retailer margin needed</t>
  </si>
  <si>
    <t>Improved farmer price target</t>
  </si>
  <si>
    <t>Women SHG Sourcing</t>
  </si>
  <si>
    <t>Women SHG</t>
  </si>
  <si>
    <t>Aggregation/grading</t>
  </si>
  <si>
    <t>Women SHG Processing</t>
  </si>
  <si>
    <t>Processing service or own unit</t>
  </si>
  <si>
    <t>Women Network / Direct Retail</t>
  </si>
  <si>
    <t>Packed turmeric</t>
  </si>
  <si>
    <t>Packing + direct selling</t>
  </si>
  <si>
    <t>Final consumption</t>
  </si>
  <si>
    <t>Consumer price point</t>
  </si>
  <si>
    <t>Pathway Optimiser - compares current and improved turmeric value-chain routes</t>
  </si>
  <si>
    <t>Farmer sale price ₹/kg</t>
  </si>
  <si>
    <t>Farmer gain vs baseline</t>
  </si>
  <si>
    <t>SHG gross margin ₹/kg</t>
  </si>
  <si>
    <t>SHG operating cost ₹/kg</t>
  </si>
  <si>
    <t>Model volume kg/month</t>
  </si>
  <si>
    <t>SHG monthly earning ₹</t>
  </si>
  <si>
    <t>Investment required ₹</t>
  </si>
  <si>
    <t>Market fit 1-5</t>
  </si>
  <si>
    <t>Risk 1-5</t>
  </si>
  <si>
    <t>Demand strength 1-5</t>
  </si>
  <si>
    <t>Optimisation score</t>
  </si>
  <si>
    <t>Baseline trader-led route. SHG has no value capture.</t>
  </si>
  <si>
    <t>P2 SJ Processing via Retail</t>
  </si>
  <si>
    <t>Farmer sells as current; Seba Jagat processes and sells via retail/dealer chain.</t>
  </si>
  <si>
    <t>P3 SHG Direct Basic</t>
  </si>
  <si>
    <t>SHG buys dried turmeric at fairer price, processes through SJ unit, sells directly.</t>
  </si>
  <si>
    <t>P4 SHG Sourcing + SJ Processing + Retail</t>
  </si>
  <si>
    <t>SHG owns aggregation; SJ processing; sells through retailers with competitive price.</t>
  </si>
  <si>
    <t>P5 SHG Full Chain Retail</t>
  </si>
  <si>
    <t>SHG owns sourcing, processing, packing and distribution; retailer remains final outlet.</t>
  </si>
  <si>
    <t>P6 SHG Direct + Retail Mix</t>
  </si>
  <si>
    <t>60% direct women network + 40% retail route; balances volume and margin.</t>
  </si>
  <si>
    <t>P7 Wellness Premium Small Batch</t>
  </si>
  <si>
    <t>Value-added/wellness products at premium price; higher branding and demand risk.</t>
  </si>
  <si>
    <t>Investment Planner - minimal investment route before owning every stage</t>
  </si>
  <si>
    <t>Investment Item</t>
  </si>
  <si>
    <t>Low-cost option ₹</t>
  </si>
  <si>
    <t>Higher-control option ₹</t>
  </si>
  <si>
    <t>Recommended for Phase 1?</t>
  </si>
  <si>
    <t>Why</t>
  </si>
  <si>
    <t>Operating cost impact ₹/kg</t>
  </si>
  <si>
    <t>Owner</t>
  </si>
  <si>
    <t>Priority</t>
  </si>
  <si>
    <t>Sourcing</t>
  </si>
  <si>
    <t>Digital weighing scale, crates, moisture meter</t>
  </si>
  <si>
    <t>Improves grading and farmer trust</t>
  </si>
  <si>
    <t>Start here</t>
  </si>
  <si>
    <t>Drying</t>
  </si>
  <si>
    <t>Improved drying mats/trays, SOP, storage bins</t>
  </si>
  <si>
    <t>Improves colour and quality</t>
  </si>
  <si>
    <t>Avoid moisture risk</t>
  </si>
  <si>
    <t>Processing</t>
  </si>
  <si>
    <t>Yes - service mode</t>
  </si>
  <si>
    <t>Avoids heavy capex initially</t>
  </si>
  <si>
    <t>SJ facilitated/SHG</t>
  </si>
  <si>
    <t>Shift to own unit after demand proven</t>
  </si>
  <si>
    <t>Packing</t>
  </si>
  <si>
    <t>Sealer, labels, pouches, batch coding</t>
  </si>
  <si>
    <t>Small SKUs require reliable packing</t>
  </si>
  <si>
    <t>Focus 10g/20g/100g</t>
  </si>
  <si>
    <t>Women network kits, retail route plan</t>
  </si>
  <si>
    <t>Direct channel adds margin</t>
  </si>
  <si>
    <t>Need monthly follow-up</t>
  </si>
  <si>
    <t>Retail</t>
  </si>
  <si>
    <t>Display boxes, village point-of-sale</t>
  </si>
  <si>
    <t>Selective</t>
  </si>
  <si>
    <t>Useful after repeat demand</t>
  </si>
  <si>
    <t>SHG/Women entrepreneurs</t>
  </si>
  <si>
    <t>Pilot with 10-20 outlets</t>
  </si>
  <si>
    <t>Quality/Compliance</t>
  </si>
  <si>
    <t>FSSAI, testing, brand system</t>
  </si>
  <si>
    <t>Builds retailer and consumer confidence</t>
  </si>
  <si>
    <t>Seba Jagat facilitator</t>
  </si>
  <si>
    <t>SJ should support</t>
  </si>
  <si>
    <t>Wellness Products</t>
  </si>
  <si>
    <t>R&amp;D, recipes, premium packaging</t>
  </si>
  <si>
    <t>Later</t>
  </si>
  <si>
    <t>Higher price but higher risk</t>
  </si>
  <si>
    <t>SHG/SJ support</t>
  </si>
  <si>
    <t>Phase 2/3</t>
  </si>
  <si>
    <t>Source Snapshot from RT Data.xlsx</t>
  </si>
  <si>
    <t>Current chain rates</t>
  </si>
  <si>
    <t>Purchase Rate ₹/kg</t>
  </si>
  <si>
    <t>Selling Rate ₹/kg</t>
  </si>
  <si>
    <t>Volume</t>
  </si>
  <si>
    <t>Packaging</t>
  </si>
  <si>
    <t>Agent/Trader</t>
  </si>
  <si>
    <t>50 Qtl</t>
  </si>
  <si>
    <t>Market observations</t>
  </si>
  <si>
    <t>Higher retailer margins</t>
  </si>
  <si>
    <t>10 kg/month approx</t>
  </si>
  <si>
    <t>15 kg from dealers approx</t>
  </si>
  <si>
    <t>₹5/10g, ₹10/20g, ₹46/100g, ₹76/200g</t>
  </si>
  <si>
    <t>₹2–3 per packet</t>
  </si>
  <si>
    <t>Trusted among tribal communities; improve color, price competitiveness, packaging and follow-up</t>
  </si>
  <si>
    <t>Price points</t>
  </si>
  <si>
    <t>Product/SKU</t>
  </si>
  <si>
    <t>Seba Jagat retailer price</t>
  </si>
  <si>
    <t>Bharat/Everest retailer purchase</t>
  </si>
  <si>
    <t>Retailer margin</t>
  </si>
  <si>
    <t>Consumer price</t>
  </si>
  <si>
    <t>Equivalent ₹/kg</t>
  </si>
  <si>
    <t>Dried turmeric - farmer</t>
  </si>
  <si>
    <t>Dried turmeric - trader/SHG</t>
  </si>
  <si>
    <t>Loose powder</t>
  </si>
  <si>
    <t>Seba Jagat 50g</t>
  </si>
  <si>
    <t>25</t>
  </si>
  <si>
    <t>Seba Jagat 100g</t>
  </si>
  <si>
    <t>50</t>
  </si>
  <si>
    <t>Seba Jagat 200g</t>
  </si>
  <si>
    <t>90</t>
  </si>
  <si>
    <t>Seba Jagat 1kg</t>
  </si>
  <si>
    <t>200</t>
  </si>
  <si>
    <t>Bharat 10g</t>
  </si>
  <si>
    <t>Bharat 20g</t>
  </si>
  <si>
    <t>Bharat 100g</t>
  </si>
  <si>
    <t>Bharat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</si>
</sst>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\₹#,##0"/>
  </numFmts>
  <fonts count="9" x14ac:knownFonts="1">
    <font>
      <sz val="10"/>
      <color rgb="FF00000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b/>
      <sz val="10"/>
      <color rgb="FF000000"/>
      <name val="Arial"/>
    </font>
    <font>
      <b/>
      <sz val="16"/>
      <color rgb="FFFFFFFF"/>
      <name val="Arial"/>
    </font>
    <font>
      <i/>
      <sz val="10"/>
      <color rgb="FF000000"/>
      <name val="Arial"/>
    </font>
    <font>
      <b/>
      <sz val="16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065F46"/>
      </patternFill>
    </fill>
    <fill>
      <patternFill patternType="solid">
        <fgColor rgb="FFDCFCE7"/>
      </patternFill>
    </fill>
    <fill>
      <patternFill patternType="solid">
        <fgColor rgb="FFFFF7ED"/>
      </patternFill>
    </fill>
    <fill>
      <patternFill patternType="solid">
        <fgColor rgb="FFF7FEE7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ECFDF5"/>
      </patternFill>
    </fill>
    <fill>
      <patternFill patternType="solid">
        <fgColor rgb="FF365314"/>
      </patternFill>
    </fill>
    <fill>
      <patternFill patternType="solid">
        <fgColor rgb="FF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2" fontId="3" fillId="5" borderId="0" xfId="0" applyNumberFormat="1" applyFont="1" applyFill="1"/>
    <xf numFmtId="1" fontId="3" fillId="5" borderId="0" xfId="0" applyNumberFormat="1" applyFont="1" applyFill="1"/>
    <xf numFmtId="9" fontId="3" fillId="5" borderId="0" xfId="0" applyNumberFormat="1" applyFont="1" applyFill="1"/>
    <xf numFmtId="165" fontId="0" fillId="0" borderId="0" xfId="0" applyNumberFormat="1"/>
    <xf numFmtId="166" fontId="0" fillId="0" borderId="0" xfId="0" applyNumberFormat="1" applyAlignment="1">
      <alignment wrapText="1"/>
    </xf>
    <xf numFmtId="166" fontId="0" fillId="5" borderId="0" xfId="0" applyNumberFormat="1" applyFill="1" applyAlignment="1">
      <alignment wrapText="1"/>
    </xf>
    <xf numFmtId="165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7" borderId="0" xfId="0" applyFont="1" applyFill="1" applyAlignment="1">
      <alignment horizontal="center" wrapText="1"/>
    </xf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166" fontId="3" fillId="9" borderId="0" xfId="0" applyNumberFormat="1" applyFont="1" applyFill="1" applyAlignment="1">
      <alignment vertical="center" wrapText="1"/>
    </xf>
    <xf numFmtId="165" fontId="3" fillId="9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166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5" borderId="0" xfId="0" applyFont="1" applyFill="1" applyAlignment="1">
      <alignment wrapText="1"/>
    </xf>
    <xf numFmtId="165" fontId="3" fillId="5" borderId="0" xfId="0" applyNumberFormat="1" applyFont="1" applyFill="1" applyAlignment="1">
      <alignment wrapText="1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  <xf numFmtId="0" fontId="1" fillId="11" borderId="0" xfId="0" applyFont="1" applyFill="1"/>
    <xf numFmtId="0" fontId="1" fillId="3" borderId="0" xfId="0" applyFont="1" applyFill="1" applyAlignment="1">
      <alignment horizontal="left"/>
    </xf>
    <xf numFmtId="0" fontId="7" fillId="4" borderId="0" xfId="0" applyFont="1" applyFill="1" applyAlignment="1">
      <alignment horizontal="center" wrapText="1"/>
    </xf>
    <xf numFmtId="0" fontId="8" fillId="0" borderId="0" xfId="0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ont>
        <b/>
      </font>
      <fill>
        <patternFill patternType="solid">
          <bgColor rgb="FFBBF7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odeEconomicsTable" displayName="NodeEconomicsTable" ref="A3:L18" headerRowDxfId="2">
  <tableColumns count="12">
    <tableColumn id="1" xr3:uid="{00000000-0010-0000-0300-000001000000}" name="Pathway"/>
    <tableColumn id="2" xr3:uid="{00000000-0010-0000-0300-000002000000}" name="Node Order"/>
    <tableColumn id="3" xr3:uid="{00000000-0010-0000-0300-000003000000}" name="Actor / Node"/>
    <tableColumn id="4" xr3:uid="{00000000-0010-0000-0300-000004000000}" name="Product handled"/>
    <tableColumn id="5" xr3:uid="{00000000-0010-0000-0300-000005000000}" name="Buys at ₹/kg"/>
    <tableColumn id="6" xr3:uid="{00000000-0010-0000-0300-000006000000}" name="Adds cost ₹/kg"/>
    <tableColumn id="7" xr3:uid="{00000000-0010-0000-0300-000007000000}" name="Sells at ₹/kg"/>
    <tableColumn id="8" xr3:uid="{00000000-0010-0000-0300-000008000000}" name="Margin ₹/kg"/>
    <tableColumn id="9" xr3:uid="{00000000-0010-0000-0300-000009000000}" name="Monthly volume kg"/>
    <tableColumn id="10" xr3:uid="{00000000-0010-0000-0300-00000A000000}" name="Monthly earning ₹"/>
    <tableColumn id="11" xr3:uid="{00000000-0010-0000-0300-00000B000000}" name="Beneficiary"/>
    <tableColumn id="12" xr3:uid="{00000000-0010-0000-0300-00000C000000}" name="Editable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thwayOptimiserTable" displayName="PathwayOptimiserTable" ref="A3:O10" headerRowDxfId="1">
  <tableColumns count="15">
    <tableColumn id="1" xr3:uid="{00000000-0010-0000-0400-000001000000}" name="Pathway"/>
    <tableColumn id="2" xr3:uid="{00000000-0010-0000-0400-000002000000}" name="Description"/>
    <tableColumn id="3" xr3:uid="{00000000-0010-0000-0400-000003000000}" name="Farmer sale price ₹/kg"/>
    <tableColumn id="4" xr3:uid="{00000000-0010-0000-0400-000004000000}" name="Farmer gain vs baseline"/>
    <tableColumn id="5" xr3:uid="{00000000-0010-0000-0400-000005000000}" name="SHG gross margin ₹/kg"/>
    <tableColumn id="6" xr3:uid="{00000000-0010-0000-0400-000006000000}" name="SHG operating cost ₹/kg"/>
    <tableColumn id="7" xr3:uid="{00000000-0010-0000-0400-000007000000}" name="SHG net gain ₹/kg"/>
    <tableColumn id="8" xr3:uid="{00000000-0010-0000-0400-000008000000}" name="Model volume kg/month"/>
    <tableColumn id="9" xr3:uid="{00000000-0010-0000-0400-000009000000}" name="SHG monthly earning ₹"/>
    <tableColumn id="10" xr3:uid="{00000000-0010-0000-0400-00000A000000}" name="Investment required ₹"/>
    <tableColumn id="11" xr3:uid="{00000000-0010-0000-0400-00000B000000}" name="Market fit 1-5"/>
    <tableColumn id="12" xr3:uid="{00000000-0010-0000-0400-00000C000000}" name="Risk 1-5"/>
    <tableColumn id="13" xr3:uid="{00000000-0010-0000-0400-00000D000000}" name="Demand strength 1-5"/>
    <tableColumn id="14" xr3:uid="{00000000-0010-0000-0400-00000E000000}" name="Optimisation score"/>
    <tableColumn id="15" xr3:uid="{00000000-0010-0000-0400-00000F000000}" name="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vestmentPlannerTable" displayName="InvestmentPlannerTable" ref="A3:J11" headerRowDxfId="0">
  <tableColumns count="10">
    <tableColumn id="1" xr3:uid="{00000000-0010-0000-0500-000001000000}" name="Stage"/>
    <tableColumn id="2" xr3:uid="{00000000-0010-0000-0500-000002000000}" name="Investment Item"/>
    <tableColumn id="3" xr3:uid="{00000000-0010-0000-0500-000003000000}" name="Low-cost option ₹"/>
    <tableColumn id="4" xr3:uid="{00000000-0010-0000-0500-000004000000}" name="Higher-control option ₹"/>
    <tableColumn id="5" xr3:uid="{00000000-0010-0000-0500-000005000000}" name="Recommended for Phase 1?"/>
    <tableColumn id="6" xr3:uid="{00000000-0010-0000-0500-000006000000}" name="Why"/>
    <tableColumn id="7" xr3:uid="{00000000-0010-0000-0500-000007000000}" name="Operating cost impact ₹/kg"/>
    <tableColumn id="8" xr3:uid="{00000000-0010-0000-0500-000008000000}" name="Owner"/>
    <tableColumn id="9" xr3:uid="{00000000-0010-0000-0500-000009000000}" name="Priority"/>
    <tableColumn id="10" xr3:uid="{00000000-0010-0000-05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0"/>
  <sheetViews>
    <sheetView topLeftCell="A4" workbookViewId="0">
      <selection activeCell="Q7" sqref="Q7"/>
    </sheetView>
  </sheetViews>
  <sheetFormatPr defaultRowHeight="13.2" x14ac:dyDescent="0.25"/>
  <cols>
    <col min="1" max="1" width="18" customWidth="1"/>
    <col min="2" max="2" width="36.109375" customWidth="1"/>
    <col min="3" max="3" width="10.77734375" customWidth="1"/>
    <col min="4" max="4" width="18" customWidth="1"/>
    <col min="5" max="5" width="10.21875" customWidth="1"/>
    <col min="6" max="6" width="18" customWidth="1"/>
    <col min="7" max="7" width="8.21875" customWidth="1"/>
    <col min="8" max="8" width="18" customWidth="1"/>
    <col min="9" max="9" width="4" customWidth="1"/>
    <col min="10" max="10" width="18" customWidth="1"/>
    <col min="11" max="11" width="14" customWidth="1"/>
    <col min="12" max="12" width="18" customWidth="1"/>
    <col min="13" max="13" width="18.109375" customWidth="1"/>
    <col min="14" max="14" width="18" customWidth="1"/>
  </cols>
  <sheetData>
    <row r="1" spans="1:14" ht="21" x14ac:dyDescent="0.25">
      <c r="A1" s="28" t="s">
        <v>46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30" t="s">
        <v>47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25">
      <c r="A4" s="16" t="s">
        <v>48</v>
      </c>
      <c r="B4" s="17" t="s">
        <v>49</v>
      </c>
      <c r="C4" s="15"/>
      <c r="D4" s="31" t="s">
        <v>50</v>
      </c>
      <c r="E4" s="29" t="s">
        <v>50</v>
      </c>
      <c r="F4" s="29" t="s">
        <v>50</v>
      </c>
      <c r="G4" s="29" t="s">
        <v>50</v>
      </c>
      <c r="H4" s="29" t="s">
        <v>50</v>
      </c>
      <c r="I4" s="29" t="s">
        <v>50</v>
      </c>
      <c r="J4" s="29" t="s">
        <v>50</v>
      </c>
      <c r="K4" s="29" t="s">
        <v>50</v>
      </c>
      <c r="L4" s="29" t="s">
        <v>50</v>
      </c>
      <c r="M4" s="29" t="s">
        <v>50</v>
      </c>
      <c r="N4" s="29" t="s">
        <v>50</v>
      </c>
    </row>
    <row r="5" spans="1:14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x14ac:dyDescent="0.25">
      <c r="A6" s="32" t="s">
        <v>51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ht="92.4" x14ac:dyDescent="0.25">
      <c r="A7" s="18" t="s">
        <v>52</v>
      </c>
      <c r="B7" s="19" t="str">
        <f>INDEX('03 Pathway_Optimiser'!$A$4:$A$10,MATCH(1,'03 Pathway_Optimiser'!$O$4:$O$10,0))</f>
        <v>P4 SHG Sourcing + SJ Processing + Retail</v>
      </c>
      <c r="C7" s="19"/>
      <c r="D7" s="19" t="s">
        <v>53</v>
      </c>
      <c r="E7" s="20">
        <f>INDEX('03 Pathway_Optimiser'!$C$4:$C$10,MATCH(1,'03 Pathway_Optimiser'!$O$4:$O$10,0))</f>
        <v>135</v>
      </c>
      <c r="F7" s="19"/>
      <c r="G7" s="19" t="s">
        <v>54</v>
      </c>
      <c r="H7" s="20">
        <f>INDEX('03 Pathway_Optimiser'!$G$4:$G$10,MATCH(1,'03 Pathway_Optimiser'!$O$4:$O$10,0))</f>
        <v>42</v>
      </c>
      <c r="I7" s="19"/>
      <c r="J7" s="19" t="s">
        <v>55</v>
      </c>
      <c r="K7" s="20">
        <f>INDEX('03 Pathway_Optimiser'!$I$4:$I$10,MATCH(1,'03 Pathway_Optimiser'!$O$4:$O$10,0))</f>
        <v>16800</v>
      </c>
      <c r="L7" s="19"/>
      <c r="M7" s="19" t="s">
        <v>56</v>
      </c>
      <c r="N7" s="20">
        <f>INDEX('03 Pathway_Optimiser'!$J$4:$J$10,MATCH(1,'03 Pathway_Optimiser'!$O$4:$O$10,0))</f>
        <v>225000</v>
      </c>
    </row>
    <row r="8" spans="1:14" ht="79.2" x14ac:dyDescent="0.25">
      <c r="A8" s="18" t="s">
        <v>57</v>
      </c>
      <c r="B8" s="19" t="str">
        <f>INDEX('03 Pathway_Optimiser'!$B$4:$B$10,MATCH(1,'03 Pathway_Optimiser'!$O$4:$O$10,0))</f>
        <v>SHG owns aggregation; SJ processing; sells through retailers with competitive price.</v>
      </c>
      <c r="C8" s="19"/>
      <c r="D8" s="19" t="s">
        <v>58</v>
      </c>
      <c r="E8" s="19">
        <f>INDEX('03 Pathway_Optimiser'!$K$4:$K$10,MATCH(1,'03 Pathway_Optimiser'!$O$4:$O$10,0))</f>
        <v>5</v>
      </c>
      <c r="F8" s="19"/>
      <c r="G8" s="19" t="s">
        <v>59</v>
      </c>
      <c r="H8" s="19">
        <f>INDEX('03 Pathway_Optimiser'!$L$4:$L$10,MATCH(1,'03 Pathway_Optimiser'!$O$4:$O$10,0))</f>
        <v>2</v>
      </c>
      <c r="I8" s="19"/>
      <c r="J8" s="19" t="s">
        <v>60</v>
      </c>
      <c r="K8" s="19">
        <f>INDEX('03 Pathway_Optimiser'!$M$4:$M$10,MATCH(1,'03 Pathway_Optimiser'!$O$4:$O$10,0))</f>
        <v>5</v>
      </c>
      <c r="L8" s="19"/>
      <c r="M8" s="19" t="s">
        <v>61</v>
      </c>
      <c r="N8" s="21">
        <f>INDEX('03 Pathway_Optimiser'!$N$4:$N$10,MATCH(1,'03 Pathway_Optimiser'!$O$4:$O$10,0))</f>
        <v>519</v>
      </c>
    </row>
    <row r="9" spans="1:14" ht="105.6" x14ac:dyDescent="0.25">
      <c r="A9" s="18" t="s">
        <v>62</v>
      </c>
      <c r="B9" s="22" t="s">
        <v>63</v>
      </c>
      <c r="C9" s="22"/>
      <c r="D9" s="18" t="s">
        <v>64</v>
      </c>
      <c r="E9" s="22" t="s">
        <v>65</v>
      </c>
      <c r="F9" s="22"/>
      <c r="G9" s="18" t="s">
        <v>66</v>
      </c>
      <c r="H9" s="22" t="s">
        <v>67</v>
      </c>
      <c r="I9" s="22"/>
      <c r="J9" s="18" t="s">
        <v>68</v>
      </c>
      <c r="K9" s="22" t="s">
        <v>69</v>
      </c>
      <c r="L9" s="22"/>
      <c r="M9" s="18" t="s">
        <v>70</v>
      </c>
      <c r="N9" s="22" t="s">
        <v>71</v>
      </c>
    </row>
    <row r="10" spans="1:14" ht="79.2" x14ac:dyDescent="0.25">
      <c r="A10" s="18" t="s">
        <v>72</v>
      </c>
      <c r="B10" s="22" t="s">
        <v>73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x14ac:dyDescent="0.25">
      <c r="A12" s="32" t="s">
        <v>74</v>
      </c>
      <c r="B12" s="29" t="s">
        <v>74</v>
      </c>
      <c r="C12" s="29" t="s">
        <v>74</v>
      </c>
      <c r="D12" s="29" t="s">
        <v>74</v>
      </c>
      <c r="E12" s="29" t="s">
        <v>74</v>
      </c>
      <c r="F12" s="29" t="s">
        <v>74</v>
      </c>
      <c r="G12" s="29" t="s">
        <v>74</v>
      </c>
      <c r="H12" s="29" t="s">
        <v>74</v>
      </c>
      <c r="I12" s="29" t="s">
        <v>74</v>
      </c>
      <c r="J12" s="29" t="s">
        <v>74</v>
      </c>
      <c r="K12" s="29" t="s">
        <v>74</v>
      </c>
      <c r="L12" s="29" t="s">
        <v>74</v>
      </c>
      <c r="M12" s="29" t="s">
        <v>74</v>
      </c>
      <c r="N12" s="29" t="s">
        <v>74</v>
      </c>
    </row>
    <row r="13" spans="1:14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22.35" customHeight="1" x14ac:dyDescent="0.25">
      <c r="A14" s="33" t="s">
        <v>75</v>
      </c>
      <c r="B14" s="35" t="s">
        <v>76</v>
      </c>
      <c r="C14" s="13" t="s">
        <v>77</v>
      </c>
      <c r="D14" s="35" t="s">
        <v>78</v>
      </c>
      <c r="E14" s="13" t="s">
        <v>77</v>
      </c>
      <c r="F14" s="35" t="s">
        <v>79</v>
      </c>
      <c r="G14" s="13" t="s">
        <v>77</v>
      </c>
      <c r="H14" s="35" t="s">
        <v>80</v>
      </c>
      <c r="I14" s="13" t="s">
        <v>77</v>
      </c>
      <c r="J14" s="35" t="s">
        <v>81</v>
      </c>
      <c r="K14" s="13" t="s">
        <v>77</v>
      </c>
      <c r="L14" s="35" t="s">
        <v>82</v>
      </c>
      <c r="M14" s="22" t="s">
        <v>83</v>
      </c>
      <c r="N14" s="36"/>
    </row>
    <row r="15" spans="1:14" ht="22.35" customHeight="1" x14ac:dyDescent="0.25">
      <c r="A15" s="34"/>
      <c r="B15" s="34"/>
      <c r="C15" s="22"/>
      <c r="D15" s="34"/>
      <c r="E15" s="22"/>
      <c r="F15" s="34"/>
      <c r="G15" s="22"/>
      <c r="H15" s="34"/>
      <c r="I15" s="22"/>
      <c r="J15" s="34"/>
      <c r="K15" s="22"/>
      <c r="L15" s="34"/>
      <c r="M15" s="22"/>
      <c r="N15" s="34"/>
    </row>
    <row r="16" spans="1:14" ht="22.35" customHeight="1" x14ac:dyDescent="0.25">
      <c r="A16" s="34"/>
      <c r="B16" s="34"/>
      <c r="C16" s="22"/>
      <c r="D16" s="34"/>
      <c r="E16" s="22"/>
      <c r="F16" s="34"/>
      <c r="G16" s="22"/>
      <c r="H16" s="34"/>
      <c r="I16" s="22"/>
      <c r="J16" s="34"/>
      <c r="K16" s="22"/>
      <c r="L16" s="34"/>
      <c r="M16" s="22"/>
      <c r="N16" s="34"/>
    </row>
    <row r="17" spans="1:14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22.35" customHeight="1" x14ac:dyDescent="0.25">
      <c r="A18" s="33" t="s">
        <v>84</v>
      </c>
      <c r="B18" s="35" t="s">
        <v>76</v>
      </c>
      <c r="C18" s="13" t="s">
        <v>77</v>
      </c>
      <c r="D18" s="35" t="s">
        <v>85</v>
      </c>
      <c r="E18" s="13" t="s">
        <v>77</v>
      </c>
      <c r="F18" s="35" t="s">
        <v>86</v>
      </c>
      <c r="G18" s="13" t="s">
        <v>77</v>
      </c>
      <c r="H18" s="35" t="s">
        <v>87</v>
      </c>
      <c r="I18" s="13" t="s">
        <v>77</v>
      </c>
      <c r="J18" s="35" t="s">
        <v>81</v>
      </c>
      <c r="K18" s="13" t="s">
        <v>77</v>
      </c>
      <c r="L18" s="35" t="s">
        <v>82</v>
      </c>
      <c r="M18" s="22" t="s">
        <v>88</v>
      </c>
      <c r="N18" s="36"/>
    </row>
    <row r="19" spans="1:14" ht="22.35" customHeight="1" x14ac:dyDescent="0.25">
      <c r="A19" s="34"/>
      <c r="B19" s="34"/>
      <c r="C19" s="22"/>
      <c r="D19" s="34"/>
      <c r="E19" s="22"/>
      <c r="F19" s="34"/>
      <c r="G19" s="22"/>
      <c r="H19" s="34"/>
      <c r="I19" s="22"/>
      <c r="J19" s="34"/>
      <c r="K19" s="22"/>
      <c r="L19" s="34"/>
      <c r="M19" s="22"/>
      <c r="N19" s="34"/>
    </row>
    <row r="20" spans="1:14" ht="22.35" customHeight="1" x14ac:dyDescent="0.25">
      <c r="A20" s="34"/>
      <c r="B20" s="34"/>
      <c r="C20" s="22"/>
      <c r="D20" s="34"/>
      <c r="E20" s="22"/>
      <c r="F20" s="34"/>
      <c r="G20" s="22"/>
      <c r="H20" s="34"/>
      <c r="I20" s="22"/>
      <c r="J20" s="34"/>
      <c r="K20" s="22"/>
      <c r="L20" s="34"/>
      <c r="M20" s="22"/>
      <c r="N20" s="34"/>
    </row>
    <row r="21" spans="1:14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22.35" customHeight="1" x14ac:dyDescent="0.25">
      <c r="A22" s="33" t="s">
        <v>89</v>
      </c>
      <c r="B22" s="35" t="s">
        <v>90</v>
      </c>
      <c r="C22" s="13" t="s">
        <v>77</v>
      </c>
      <c r="D22" s="35" t="s">
        <v>91</v>
      </c>
      <c r="E22" s="13" t="s">
        <v>77</v>
      </c>
      <c r="F22" s="35" t="s">
        <v>92</v>
      </c>
      <c r="G22" s="13" t="s">
        <v>77</v>
      </c>
      <c r="H22" s="35" t="s">
        <v>93</v>
      </c>
      <c r="I22" s="13" t="s">
        <v>77</v>
      </c>
      <c r="J22" s="35" t="s">
        <v>82</v>
      </c>
      <c r="K22" s="13"/>
      <c r="L22" s="35" t="s">
        <v>94</v>
      </c>
      <c r="M22" s="22"/>
      <c r="N22" s="36"/>
    </row>
    <row r="23" spans="1:14" ht="22.35" customHeight="1" x14ac:dyDescent="0.25">
      <c r="A23" s="34"/>
      <c r="B23" s="34"/>
      <c r="C23" s="22"/>
      <c r="D23" s="34"/>
      <c r="E23" s="22"/>
      <c r="F23" s="34"/>
      <c r="G23" s="22"/>
      <c r="H23" s="34"/>
      <c r="I23" s="22"/>
      <c r="J23" s="34"/>
      <c r="K23" s="22"/>
      <c r="L23" s="34"/>
      <c r="M23" s="22"/>
      <c r="N23" s="34"/>
    </row>
    <row r="24" spans="1:14" ht="22.35" customHeight="1" x14ac:dyDescent="0.25">
      <c r="A24" s="34"/>
      <c r="B24" s="34"/>
      <c r="C24" s="22"/>
      <c r="D24" s="34"/>
      <c r="E24" s="22"/>
      <c r="F24" s="34"/>
      <c r="G24" s="22"/>
      <c r="H24" s="34"/>
      <c r="I24" s="22"/>
      <c r="J24" s="34"/>
      <c r="K24" s="22"/>
      <c r="L24" s="34"/>
      <c r="M24" s="22"/>
      <c r="N24" s="34"/>
    </row>
    <row r="25" spans="1:14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25">
      <c r="A27" s="32" t="s">
        <v>95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ht="66" x14ac:dyDescent="0.25">
      <c r="A28" s="12" t="s">
        <v>96</v>
      </c>
      <c r="B28" s="12" t="s">
        <v>97</v>
      </c>
      <c r="C28" s="12" t="s">
        <v>98</v>
      </c>
      <c r="D28" s="12" t="s">
        <v>99</v>
      </c>
      <c r="E28" s="12" t="s">
        <v>100</v>
      </c>
      <c r="F28" s="12" t="s">
        <v>101</v>
      </c>
      <c r="G28" s="12" t="s">
        <v>58</v>
      </c>
      <c r="H28" s="12" t="s">
        <v>61</v>
      </c>
      <c r="I28" s="15"/>
      <c r="J28" s="36" t="s">
        <v>102</v>
      </c>
      <c r="K28" s="34"/>
      <c r="L28" s="34"/>
      <c r="M28" s="34"/>
      <c r="N28" s="34"/>
    </row>
    <row r="29" spans="1:14" ht="237.6" x14ac:dyDescent="0.25">
      <c r="A29" s="22">
        <f>'03 Pathway_Optimiser'!O4</f>
        <v>6</v>
      </c>
      <c r="B29" s="22" t="str">
        <f>'03 Pathway_Optimiser'!A4</f>
        <v>P1 Conventional</v>
      </c>
      <c r="C29" s="23">
        <f>'03 Pathway_Optimiser'!C4</f>
        <v>120</v>
      </c>
      <c r="D29" s="23">
        <f>'03 Pathway_Optimiser'!G4</f>
        <v>0</v>
      </c>
      <c r="E29" s="23">
        <f>'03 Pathway_Optimiser'!I4</f>
        <v>0</v>
      </c>
      <c r="F29" s="23">
        <f>'03 Pathway_Optimiser'!J4</f>
        <v>0</v>
      </c>
      <c r="G29" s="22">
        <f>'03 Pathway_Optimiser'!K4</f>
        <v>4</v>
      </c>
      <c r="H29" s="24">
        <f>'03 Pathway_Optimiser'!N4</f>
        <v>210</v>
      </c>
      <c r="I29" s="15"/>
      <c r="J29" s="25" t="s">
        <v>103</v>
      </c>
      <c r="K29" s="22" t="s">
        <v>104</v>
      </c>
      <c r="L29" s="22"/>
      <c r="M29" s="22"/>
      <c r="N29" s="22"/>
    </row>
    <row r="30" spans="1:14" ht="356.4" x14ac:dyDescent="0.25">
      <c r="A30" s="22">
        <f>'03 Pathway_Optimiser'!O5</f>
        <v>7</v>
      </c>
      <c r="B30" s="22" t="str">
        <f>'03 Pathway_Optimiser'!A5</f>
        <v>P2 SJ Processing via Retail</v>
      </c>
      <c r="C30" s="23">
        <f>'03 Pathway_Optimiser'!C5</f>
        <v>120</v>
      </c>
      <c r="D30" s="23">
        <f>'03 Pathway_Optimiser'!G5</f>
        <v>5</v>
      </c>
      <c r="E30" s="23">
        <f>'03 Pathway_Optimiser'!I5</f>
        <v>1875</v>
      </c>
      <c r="F30" s="23">
        <f>'03 Pathway_Optimiser'!J5</f>
        <v>250000</v>
      </c>
      <c r="G30" s="22">
        <f>'03 Pathway_Optimiser'!K5</f>
        <v>3</v>
      </c>
      <c r="H30" s="24">
        <f>'03 Pathway_Optimiser'!N5</f>
        <v>180</v>
      </c>
      <c r="I30" s="15"/>
      <c r="J30" s="25" t="s">
        <v>105</v>
      </c>
      <c r="K30" s="22" t="s">
        <v>106</v>
      </c>
      <c r="L30" s="22"/>
      <c r="M30" s="22"/>
      <c r="N30" s="22"/>
    </row>
    <row r="31" spans="1:14" ht="237.6" x14ac:dyDescent="0.25">
      <c r="A31" s="22">
        <f>'03 Pathway_Optimiser'!O6</f>
        <v>4</v>
      </c>
      <c r="B31" s="22" t="str">
        <f>'03 Pathway_Optimiser'!A6</f>
        <v>P3 SHG Direct Basic</v>
      </c>
      <c r="C31" s="23">
        <f>'03 Pathway_Optimiser'!C6</f>
        <v>135</v>
      </c>
      <c r="D31" s="23">
        <f>'03 Pathway_Optimiser'!G6</f>
        <v>5</v>
      </c>
      <c r="E31" s="23">
        <f>'03 Pathway_Optimiser'!I6</f>
        <v>1250</v>
      </c>
      <c r="F31" s="23">
        <f>'03 Pathway_Optimiser'!J6</f>
        <v>150000</v>
      </c>
      <c r="G31" s="22">
        <f>'03 Pathway_Optimiser'!K6</f>
        <v>4</v>
      </c>
      <c r="H31" s="24">
        <f>'03 Pathway_Optimiser'!N6</f>
        <v>320</v>
      </c>
      <c r="I31" s="15"/>
      <c r="J31" s="25" t="s">
        <v>107</v>
      </c>
      <c r="K31" s="22" t="s">
        <v>108</v>
      </c>
      <c r="L31" s="22"/>
      <c r="M31" s="22"/>
      <c r="N31" s="22"/>
    </row>
    <row r="32" spans="1:14" ht="409.6" x14ac:dyDescent="0.25">
      <c r="A32" s="22">
        <f>'03 Pathway_Optimiser'!O7</f>
        <v>1</v>
      </c>
      <c r="B32" s="22" t="str">
        <f>'03 Pathway_Optimiser'!A7</f>
        <v>P4 SHG Sourcing + SJ Processing + Retail</v>
      </c>
      <c r="C32" s="23">
        <f>'03 Pathway_Optimiser'!C7</f>
        <v>135</v>
      </c>
      <c r="D32" s="23">
        <f>'03 Pathway_Optimiser'!G7</f>
        <v>42</v>
      </c>
      <c r="E32" s="23">
        <f>'03 Pathway_Optimiser'!I7</f>
        <v>16800</v>
      </c>
      <c r="F32" s="23">
        <f>'03 Pathway_Optimiser'!J7</f>
        <v>225000</v>
      </c>
      <c r="G32" s="22">
        <f>'03 Pathway_Optimiser'!K7</f>
        <v>5</v>
      </c>
      <c r="H32" s="24">
        <f>'03 Pathway_Optimiser'!N7</f>
        <v>519</v>
      </c>
      <c r="I32" s="15"/>
      <c r="J32" s="25" t="s">
        <v>109</v>
      </c>
      <c r="K32" s="22" t="s">
        <v>110</v>
      </c>
      <c r="L32" s="22"/>
      <c r="M32" s="22"/>
      <c r="N32" s="22"/>
    </row>
    <row r="33" spans="1:14" ht="396" x14ac:dyDescent="0.25">
      <c r="A33" s="22">
        <f>'03 Pathway_Optimiser'!O8</f>
        <v>4</v>
      </c>
      <c r="B33" s="22" t="str">
        <f>'03 Pathway_Optimiser'!A8</f>
        <v>P5 SHG Full Chain Retail</v>
      </c>
      <c r="C33" s="23">
        <f>'03 Pathway_Optimiser'!C8</f>
        <v>140</v>
      </c>
      <c r="D33" s="23">
        <f>'03 Pathway_Optimiser'!G8</f>
        <v>45</v>
      </c>
      <c r="E33" s="23">
        <f>'03 Pathway_Optimiser'!I8</f>
        <v>15750</v>
      </c>
      <c r="F33" s="23">
        <f>'03 Pathway_Optimiser'!J8</f>
        <v>450000</v>
      </c>
      <c r="G33" s="22">
        <f>'03 Pathway_Optimiser'!K8</f>
        <v>4</v>
      </c>
      <c r="H33" s="24">
        <f>'03 Pathway_Optimiser'!N8</f>
        <v>320</v>
      </c>
      <c r="I33" s="15"/>
      <c r="J33" s="25" t="s">
        <v>111</v>
      </c>
      <c r="K33" s="22" t="s">
        <v>112</v>
      </c>
      <c r="L33" s="22"/>
      <c r="M33" s="22"/>
      <c r="N33" s="22"/>
    </row>
    <row r="34" spans="1:14" ht="356.4" x14ac:dyDescent="0.25">
      <c r="A34" s="22">
        <f>'03 Pathway_Optimiser'!O9</f>
        <v>2</v>
      </c>
      <c r="B34" s="22" t="str">
        <f>'03 Pathway_Optimiser'!A9</f>
        <v>P6 SHG Direct + Retail Mix</v>
      </c>
      <c r="C34" s="23">
        <f>'03 Pathway_Optimiser'!C9</f>
        <v>140</v>
      </c>
      <c r="D34" s="23">
        <f>'03 Pathway_Optimiser'!G9</f>
        <v>42.8</v>
      </c>
      <c r="E34" s="23">
        <f>'03 Pathway_Optimiser'!I9</f>
        <v>16049.999999999998</v>
      </c>
      <c r="F34" s="23">
        <f>'03 Pathway_Optimiser'!J9</f>
        <v>350000</v>
      </c>
      <c r="G34" s="22">
        <f>'03 Pathway_Optimiser'!K9</f>
        <v>5</v>
      </c>
      <c r="H34" s="24">
        <f>'03 Pathway_Optimiser'!N9</f>
        <v>475.6</v>
      </c>
      <c r="I34" s="15"/>
      <c r="J34" s="25" t="s">
        <v>113</v>
      </c>
      <c r="K34" s="22" t="s">
        <v>114</v>
      </c>
      <c r="L34" s="22"/>
      <c r="M34" s="22"/>
      <c r="N34" s="22"/>
    </row>
    <row r="35" spans="1:14" ht="39.6" x14ac:dyDescent="0.25">
      <c r="A35" s="22">
        <f>'03 Pathway_Optimiser'!O10</f>
        <v>3</v>
      </c>
      <c r="B35" s="22" t="str">
        <f>'03 Pathway_Optimiser'!A10</f>
        <v>P7 Wellness Premium Small Batch</v>
      </c>
      <c r="C35" s="23">
        <f>'03 Pathway_Optimiser'!C10</f>
        <v>135</v>
      </c>
      <c r="D35" s="23">
        <f>'03 Pathway_Optimiser'!G10</f>
        <v>180</v>
      </c>
      <c r="E35" s="23">
        <f>'03 Pathway_Optimiser'!I10</f>
        <v>18000</v>
      </c>
      <c r="F35" s="23">
        <f>'03 Pathway_Optimiser'!J10</f>
        <v>600000</v>
      </c>
      <c r="G35" s="22">
        <f>'03 Pathway_Optimiser'!K10</f>
        <v>3</v>
      </c>
      <c r="H35" s="24">
        <f>'03 Pathway_Optimiser'!N10</f>
        <v>360</v>
      </c>
      <c r="I35" s="15"/>
      <c r="J35" s="22"/>
      <c r="K35" s="22"/>
      <c r="L35" s="22"/>
      <c r="M35" s="22"/>
      <c r="N35" s="22"/>
    </row>
    <row r="36" spans="1:14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</sheetData>
  <mergeCells count="31">
    <mergeCell ref="J22:J24"/>
    <mergeCell ref="L22:L24"/>
    <mergeCell ref="N22:N24"/>
    <mergeCell ref="A27:N27"/>
    <mergeCell ref="J28:N28"/>
    <mergeCell ref="A22:A24"/>
    <mergeCell ref="B22:B24"/>
    <mergeCell ref="D22:D24"/>
    <mergeCell ref="F22:F24"/>
    <mergeCell ref="H22:H24"/>
    <mergeCell ref="J14:J16"/>
    <mergeCell ref="L14:L16"/>
    <mergeCell ref="N14:N16"/>
    <mergeCell ref="A18:A20"/>
    <mergeCell ref="B18:B20"/>
    <mergeCell ref="D18:D20"/>
    <mergeCell ref="F18:F20"/>
    <mergeCell ref="H18:H20"/>
    <mergeCell ref="J18:J20"/>
    <mergeCell ref="L18:L20"/>
    <mergeCell ref="N18:N20"/>
    <mergeCell ref="A14:A16"/>
    <mergeCell ref="B14:B16"/>
    <mergeCell ref="D14:D16"/>
    <mergeCell ref="F14:F16"/>
    <mergeCell ref="H14:H16"/>
    <mergeCell ref="A1:N1"/>
    <mergeCell ref="A2:N2"/>
    <mergeCell ref="D4:N4"/>
    <mergeCell ref="A6:N6"/>
    <mergeCell ref="A12:N12"/>
  </mergeCells>
  <conditionalFormatting sqref="H29:H35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'01 Scenario_Editor'!$A$22:$A$29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9"/>
  <sheetViews>
    <sheetView tabSelected="1" topLeftCell="A19" workbookViewId="0">
      <selection activeCell="B7" sqref="B7"/>
    </sheetView>
  </sheetViews>
  <sheetFormatPr defaultRowHeight="13.2" x14ac:dyDescent="0.25"/>
  <cols>
    <col min="1" max="1" width="52" customWidth="1"/>
    <col min="2" max="2" width="15.88671875" customWidth="1"/>
    <col min="3" max="3" width="25.6640625" customWidth="1"/>
    <col min="4" max="4" width="31.88671875" customWidth="1"/>
    <col min="5" max="5" width="15.6640625" customWidth="1"/>
    <col min="6" max="6" width="23.77734375" customWidth="1"/>
    <col min="7" max="7" width="12.88671875" customWidth="1"/>
    <col min="8" max="8" width="42.33203125" customWidth="1"/>
  </cols>
  <sheetData>
    <row r="1" spans="1:17" ht="17.399999999999999" x14ac:dyDescent="0.3">
      <c r="A1" s="37" t="s">
        <v>115</v>
      </c>
      <c r="B1" s="38"/>
      <c r="C1" s="38"/>
      <c r="D1" s="38"/>
      <c r="E1" s="38"/>
      <c r="F1" s="38"/>
      <c r="G1" s="38"/>
      <c r="H1" s="38"/>
    </row>
    <row r="3" spans="1:17" x14ac:dyDescent="0.25">
      <c r="A3" s="3" t="s">
        <v>116</v>
      </c>
      <c r="B3" s="3" t="s">
        <v>117</v>
      </c>
      <c r="J3" s="40" t="s">
        <v>118</v>
      </c>
      <c r="K3" s="38"/>
      <c r="L3" s="38"/>
      <c r="M3" s="38"/>
      <c r="N3" s="38"/>
      <c r="O3" s="38"/>
      <c r="P3" s="38"/>
      <c r="Q3" s="38"/>
    </row>
    <row r="4" spans="1:17" ht="39.6" x14ac:dyDescent="0.25">
      <c r="A4" s="1" t="s">
        <v>119</v>
      </c>
      <c r="B4" s="4">
        <v>500</v>
      </c>
      <c r="J4" s="14" t="s">
        <v>120</v>
      </c>
      <c r="K4" s="14" t="s">
        <v>121</v>
      </c>
      <c r="L4" s="14" t="s">
        <v>122</v>
      </c>
      <c r="M4" s="14" t="s">
        <v>58</v>
      </c>
      <c r="N4" s="14" t="s">
        <v>123</v>
      </c>
      <c r="O4" s="14" t="s">
        <v>124</v>
      </c>
      <c r="P4" s="14" t="s">
        <v>125</v>
      </c>
      <c r="Q4" s="14" t="s">
        <v>126</v>
      </c>
    </row>
    <row r="5" spans="1:17" ht="66" x14ac:dyDescent="0.25">
      <c r="A5" s="1" t="s">
        <v>127</v>
      </c>
      <c r="B5" s="4">
        <v>120</v>
      </c>
      <c r="J5" s="26" t="str">
        <f>'00 Dashboard'!B4</f>
        <v>Balanced Farmer + SHG Benefit</v>
      </c>
      <c r="K5" s="27">
        <f>INDEX($B$22:$B$29,MATCH($J$5,$A$22:$A$29,0))</f>
        <v>4</v>
      </c>
      <c r="L5" s="27">
        <f>INDEX($C$22:$C$29,MATCH($J$5,$A$22:$A$29,0))</f>
        <v>4</v>
      </c>
      <c r="M5" s="27">
        <f>INDEX($D$22:$D$29,MATCH($J$5,$A$22:$A$29,0))</f>
        <v>3</v>
      </c>
      <c r="N5" s="27">
        <f>INDEX($E$22:$E$29,MATCH($J$5,$A$22:$A$29,0))</f>
        <v>2</v>
      </c>
      <c r="O5" s="27">
        <f>INDEX($F$22:$F$29,MATCH($J$5,$A$22:$A$29,0))</f>
        <v>2</v>
      </c>
      <c r="P5" s="27">
        <f>INDEX($G$22:$G$29,MATCH($J$5,$A$22:$A$29,0))</f>
        <v>2</v>
      </c>
      <c r="Q5" s="26" t="str">
        <f>INDEX($H$22:$H$29,MATCH($J$5,$A$22:$A$29,0))</f>
        <v>Balanced inclusive village economy</v>
      </c>
    </row>
    <row r="6" spans="1:17" x14ac:dyDescent="0.25">
      <c r="A6" s="1" t="s">
        <v>128</v>
      </c>
      <c r="B6" s="5">
        <v>5</v>
      </c>
    </row>
    <row r="7" spans="1:17" x14ac:dyDescent="0.25">
      <c r="A7" s="1" t="s">
        <v>129</v>
      </c>
      <c r="B7" s="6">
        <v>0.95</v>
      </c>
    </row>
    <row r="8" spans="1:17" x14ac:dyDescent="0.25">
      <c r="A8" s="1" t="s">
        <v>130</v>
      </c>
      <c r="B8" s="4">
        <v>20</v>
      </c>
    </row>
    <row r="9" spans="1:17" x14ac:dyDescent="0.25">
      <c r="A9" s="1" t="s">
        <v>131</v>
      </c>
      <c r="B9" s="4">
        <v>5</v>
      </c>
    </row>
    <row r="10" spans="1:17" x14ac:dyDescent="0.25">
      <c r="A10" s="1" t="s">
        <v>132</v>
      </c>
      <c r="B10" s="4">
        <v>35</v>
      </c>
    </row>
    <row r="11" spans="1:17" x14ac:dyDescent="0.25">
      <c r="A11" s="1" t="s">
        <v>133</v>
      </c>
      <c r="B11" s="4">
        <v>15</v>
      </c>
    </row>
    <row r="12" spans="1:17" x14ac:dyDescent="0.25">
      <c r="A12" s="1" t="s">
        <v>134</v>
      </c>
      <c r="B12" s="4">
        <v>8</v>
      </c>
    </row>
    <row r="13" spans="1:17" x14ac:dyDescent="0.25">
      <c r="A13" s="1" t="s">
        <v>135</v>
      </c>
      <c r="B13" s="4">
        <v>40</v>
      </c>
    </row>
    <row r="14" spans="1:17" x14ac:dyDescent="0.25">
      <c r="A14" s="1" t="s">
        <v>136</v>
      </c>
      <c r="B14" s="4">
        <v>20</v>
      </c>
    </row>
    <row r="15" spans="1:17" x14ac:dyDescent="0.25">
      <c r="A15" s="1" t="s">
        <v>137</v>
      </c>
      <c r="B15" s="4">
        <v>45</v>
      </c>
    </row>
    <row r="16" spans="1:17" x14ac:dyDescent="0.25">
      <c r="A16" s="1" t="s">
        <v>138</v>
      </c>
      <c r="B16" s="6">
        <v>0.12</v>
      </c>
    </row>
    <row r="17" spans="1:8" x14ac:dyDescent="0.25">
      <c r="A17" s="1" t="s">
        <v>139</v>
      </c>
      <c r="B17" s="4">
        <v>135</v>
      </c>
    </row>
    <row r="18" spans="1:8" x14ac:dyDescent="0.25">
      <c r="A18" s="40" t="s">
        <v>118</v>
      </c>
      <c r="B18" s="38"/>
      <c r="C18" s="38"/>
      <c r="D18" s="38"/>
      <c r="E18" s="38"/>
      <c r="F18" s="38"/>
      <c r="G18" s="38"/>
      <c r="H18" s="38"/>
    </row>
    <row r="19" spans="1:8" ht="26.4" x14ac:dyDescent="0.25">
      <c r="A19" s="14" t="s">
        <v>140</v>
      </c>
      <c r="B19" s="14" t="s">
        <v>121</v>
      </c>
      <c r="C19" s="14" t="s">
        <v>122</v>
      </c>
      <c r="D19" s="14" t="s">
        <v>58</v>
      </c>
      <c r="E19" s="14" t="s">
        <v>123</v>
      </c>
      <c r="F19" s="14" t="s">
        <v>124</v>
      </c>
      <c r="G19" s="14" t="s">
        <v>125</v>
      </c>
      <c r="H19" s="14" t="s">
        <v>141</v>
      </c>
    </row>
    <row r="20" spans="1:8" x14ac:dyDescent="0.25">
      <c r="A20" s="39" t="s">
        <v>142</v>
      </c>
      <c r="B20" s="38"/>
      <c r="C20" s="38"/>
      <c r="D20" s="38"/>
      <c r="E20" s="38"/>
      <c r="F20" s="38"/>
      <c r="G20" s="38"/>
      <c r="H20" s="38"/>
    </row>
    <row r="21" spans="1:8" ht="26.4" x14ac:dyDescent="0.25">
      <c r="A21" s="2" t="s">
        <v>143</v>
      </c>
      <c r="B21" s="2" t="s">
        <v>144</v>
      </c>
      <c r="C21" s="2" t="s">
        <v>145</v>
      </c>
      <c r="D21" s="2" t="s">
        <v>146</v>
      </c>
      <c r="E21" s="2" t="s">
        <v>123</v>
      </c>
      <c r="F21" s="2" t="s">
        <v>124</v>
      </c>
      <c r="G21" s="2" t="s">
        <v>147</v>
      </c>
      <c r="H21" s="2" t="s">
        <v>126</v>
      </c>
    </row>
    <row r="22" spans="1:8" x14ac:dyDescent="0.25">
      <c r="A22" s="1" t="s">
        <v>148</v>
      </c>
      <c r="B22" s="7">
        <v>5</v>
      </c>
      <c r="C22" s="7">
        <v>2</v>
      </c>
      <c r="D22" s="7">
        <v>2</v>
      </c>
      <c r="E22" s="7">
        <v>1</v>
      </c>
      <c r="F22" s="7">
        <v>2</v>
      </c>
      <c r="G22" s="7">
        <v>1</v>
      </c>
      <c r="H22" t="s">
        <v>149</v>
      </c>
    </row>
    <row r="23" spans="1:8" x14ac:dyDescent="0.25">
      <c r="A23" s="1" t="s">
        <v>150</v>
      </c>
      <c r="B23" s="7">
        <v>2</v>
      </c>
      <c r="C23" s="7">
        <v>5</v>
      </c>
      <c r="D23" s="7">
        <v>2</v>
      </c>
      <c r="E23" s="7">
        <v>1</v>
      </c>
      <c r="F23" s="7">
        <v>2</v>
      </c>
      <c r="G23" s="7">
        <v>1</v>
      </c>
      <c r="H23" t="s">
        <v>151</v>
      </c>
    </row>
    <row r="24" spans="1:8" x14ac:dyDescent="0.25">
      <c r="A24" s="1" t="s">
        <v>152</v>
      </c>
      <c r="B24" s="7">
        <v>2</v>
      </c>
      <c r="C24" s="7">
        <v>2</v>
      </c>
      <c r="D24" s="7">
        <v>2</v>
      </c>
      <c r="E24" s="7">
        <v>5</v>
      </c>
      <c r="F24" s="7">
        <v>3</v>
      </c>
      <c r="G24" s="7">
        <v>1</v>
      </c>
      <c r="H24" t="s">
        <v>153</v>
      </c>
    </row>
    <row r="25" spans="1:8" x14ac:dyDescent="0.25">
      <c r="A25" s="1" t="s">
        <v>154</v>
      </c>
      <c r="B25" s="7">
        <v>2</v>
      </c>
      <c r="C25" s="7">
        <v>2</v>
      </c>
      <c r="D25" s="7">
        <v>5</v>
      </c>
      <c r="E25" s="7">
        <v>2</v>
      </c>
      <c r="F25" s="7">
        <v>2</v>
      </c>
      <c r="G25" s="7">
        <v>4</v>
      </c>
      <c r="H25" t="s">
        <v>155</v>
      </c>
    </row>
    <row r="26" spans="1:8" x14ac:dyDescent="0.25">
      <c r="A26" s="1" t="s">
        <v>156</v>
      </c>
      <c r="B26" s="7">
        <v>2</v>
      </c>
      <c r="C26" s="7">
        <v>3</v>
      </c>
      <c r="D26" s="7">
        <v>5</v>
      </c>
      <c r="E26" s="7">
        <v>2</v>
      </c>
      <c r="F26" s="7">
        <v>2</v>
      </c>
      <c r="G26" s="7">
        <v>3</v>
      </c>
      <c r="H26" t="s">
        <v>157</v>
      </c>
    </row>
    <row r="27" spans="1:8" x14ac:dyDescent="0.25">
      <c r="A27" s="1" t="s">
        <v>158</v>
      </c>
      <c r="B27" s="7">
        <v>3</v>
      </c>
      <c r="C27" s="7">
        <v>5</v>
      </c>
      <c r="D27" s="7">
        <v>3</v>
      </c>
      <c r="E27" s="7">
        <v>2</v>
      </c>
      <c r="F27" s="7">
        <v>3</v>
      </c>
      <c r="G27" s="7">
        <v>2</v>
      </c>
      <c r="H27" t="s">
        <v>159</v>
      </c>
    </row>
    <row r="28" spans="1:8" x14ac:dyDescent="0.25">
      <c r="A28" s="1" t="s">
        <v>160</v>
      </c>
      <c r="B28" s="7">
        <v>2</v>
      </c>
      <c r="C28" s="7">
        <v>5</v>
      </c>
      <c r="D28" s="7">
        <v>3</v>
      </c>
      <c r="E28" s="7">
        <v>3</v>
      </c>
      <c r="F28" s="7">
        <v>4</v>
      </c>
      <c r="G28" s="7">
        <v>2</v>
      </c>
      <c r="H28" t="s">
        <v>161</v>
      </c>
    </row>
    <row r="29" spans="1:8" x14ac:dyDescent="0.25">
      <c r="A29" s="1" t="s">
        <v>49</v>
      </c>
      <c r="B29" s="7">
        <v>4</v>
      </c>
      <c r="C29" s="7">
        <v>4</v>
      </c>
      <c r="D29" s="7">
        <v>3</v>
      </c>
      <c r="E29" s="7">
        <v>2</v>
      </c>
      <c r="F29" s="7">
        <v>2</v>
      </c>
      <c r="G29" s="7">
        <v>2</v>
      </c>
      <c r="H29" t="s">
        <v>162</v>
      </c>
    </row>
    <row r="31" spans="1:8" x14ac:dyDescent="0.25">
      <c r="A31" s="39" t="s">
        <v>163</v>
      </c>
      <c r="B31" s="38"/>
      <c r="C31" s="38"/>
      <c r="D31" s="38"/>
      <c r="E31" s="38"/>
      <c r="F31" s="38"/>
      <c r="G31" s="38"/>
      <c r="H31" s="38"/>
    </row>
    <row r="32" spans="1:8" ht="26.4" x14ac:dyDescent="0.25">
      <c r="A32" s="2" t="s">
        <v>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168</v>
      </c>
      <c r="G32" s="2" t="s">
        <v>59</v>
      </c>
      <c r="H32" s="2" t="s">
        <v>169</v>
      </c>
    </row>
    <row r="33" spans="1:8" ht="26.4" x14ac:dyDescent="0.25">
      <c r="A33" s="1" t="s">
        <v>170</v>
      </c>
      <c r="B33" s="1" t="s">
        <v>171</v>
      </c>
      <c r="C33" s="1" t="s">
        <v>172</v>
      </c>
      <c r="D33" s="1" t="s">
        <v>173</v>
      </c>
      <c r="E33" s="1">
        <v>3</v>
      </c>
      <c r="F33" s="1" t="s">
        <v>174</v>
      </c>
      <c r="G33" s="1" t="s">
        <v>175</v>
      </c>
      <c r="H33" s="1" t="s">
        <v>176</v>
      </c>
    </row>
    <row r="34" spans="1:8" ht="26.4" x14ac:dyDescent="0.25">
      <c r="A34" s="1" t="s">
        <v>177</v>
      </c>
      <c r="B34" s="1" t="s">
        <v>171</v>
      </c>
      <c r="C34" s="1" t="s">
        <v>178</v>
      </c>
      <c r="D34" s="1" t="s">
        <v>179</v>
      </c>
      <c r="E34" s="1">
        <v>8</v>
      </c>
      <c r="F34" s="1" t="s">
        <v>180</v>
      </c>
      <c r="G34" s="1" t="s">
        <v>181</v>
      </c>
      <c r="H34" s="1" t="s">
        <v>182</v>
      </c>
    </row>
    <row r="35" spans="1:8" ht="26.4" x14ac:dyDescent="0.25">
      <c r="A35" s="1" t="s">
        <v>183</v>
      </c>
      <c r="B35" s="1" t="s">
        <v>171</v>
      </c>
      <c r="C35" s="1" t="s">
        <v>184</v>
      </c>
      <c r="D35" s="1" t="s">
        <v>185</v>
      </c>
      <c r="E35" s="1">
        <v>20</v>
      </c>
      <c r="F35" s="1" t="s">
        <v>186</v>
      </c>
      <c r="G35" s="1" t="s">
        <v>181</v>
      </c>
      <c r="H35" s="1" t="s">
        <v>187</v>
      </c>
    </row>
    <row r="36" spans="1:8" x14ac:dyDescent="0.25">
      <c r="A36" s="1" t="s">
        <v>188</v>
      </c>
      <c r="B36" s="1" t="s">
        <v>171</v>
      </c>
      <c r="C36" s="1" t="s">
        <v>189</v>
      </c>
      <c r="D36" s="1" t="s">
        <v>190</v>
      </c>
      <c r="E36" s="1">
        <v>35</v>
      </c>
      <c r="F36" s="1" t="s">
        <v>191</v>
      </c>
      <c r="G36" s="1" t="s">
        <v>181</v>
      </c>
      <c r="H36" s="1" t="s">
        <v>192</v>
      </c>
    </row>
    <row r="37" spans="1:8" x14ac:dyDescent="0.25">
      <c r="A37" s="1" t="s">
        <v>193</v>
      </c>
      <c r="B37" s="1" t="s">
        <v>171</v>
      </c>
      <c r="C37" s="1" t="s">
        <v>194</v>
      </c>
      <c r="D37" s="1" t="s">
        <v>195</v>
      </c>
      <c r="E37" s="1">
        <v>8</v>
      </c>
      <c r="F37" s="1" t="s">
        <v>196</v>
      </c>
      <c r="G37" s="1" t="s">
        <v>181</v>
      </c>
      <c r="H37" s="1" t="s">
        <v>197</v>
      </c>
    </row>
    <row r="38" spans="1:8" ht="26.4" x14ac:dyDescent="0.25">
      <c r="A38" s="1" t="s">
        <v>198</v>
      </c>
      <c r="B38" s="1" t="s">
        <v>171</v>
      </c>
      <c r="C38" s="1" t="s">
        <v>199</v>
      </c>
      <c r="D38" s="1" t="s">
        <v>200</v>
      </c>
      <c r="E38" s="1">
        <v>20</v>
      </c>
      <c r="F38" s="1" t="s">
        <v>201</v>
      </c>
      <c r="G38" s="1" t="s">
        <v>202</v>
      </c>
      <c r="H38" s="1" t="s">
        <v>203</v>
      </c>
    </row>
    <row r="39" spans="1:8" x14ac:dyDescent="0.25">
      <c r="A39" s="1" t="s">
        <v>204</v>
      </c>
      <c r="B39" s="1" t="s">
        <v>205</v>
      </c>
      <c r="C39" s="1" t="s">
        <v>206</v>
      </c>
      <c r="D39" s="1" t="s">
        <v>207</v>
      </c>
      <c r="E39" s="1">
        <v>80</v>
      </c>
      <c r="F39" s="1" t="s">
        <v>208</v>
      </c>
      <c r="G39" s="1" t="s">
        <v>202</v>
      </c>
      <c r="H39" s="1" t="s">
        <v>209</v>
      </c>
    </row>
  </sheetData>
  <mergeCells count="5">
    <mergeCell ref="A1:H1"/>
    <mergeCell ref="A20:H20"/>
    <mergeCell ref="A31:H31"/>
    <mergeCell ref="A18:H18"/>
    <mergeCell ref="J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workbookViewId="0">
      <selection activeCell="E12" sqref="E12"/>
    </sheetView>
  </sheetViews>
  <sheetFormatPr defaultRowHeight="13.2" x14ac:dyDescent="0.25"/>
  <cols>
    <col min="1" max="1" width="44.6640625" customWidth="1"/>
    <col min="2" max="2" width="9.77734375" customWidth="1"/>
    <col min="3" max="3" width="23.21875" customWidth="1"/>
    <col min="4" max="4" width="19.109375" customWidth="1"/>
    <col min="5" max="5" width="10.21875" customWidth="1"/>
    <col min="6" max="6" width="12.33203125" customWidth="1"/>
    <col min="7" max="7" width="10.109375" customWidth="1"/>
    <col min="8" max="8" width="9.77734375" customWidth="1"/>
    <col min="9" max="9" width="15.6640625" customWidth="1"/>
    <col min="10" max="10" width="14.77734375" customWidth="1"/>
    <col min="11" max="11" width="12.21875" customWidth="1"/>
    <col min="12" max="12" width="39.6640625" customWidth="1"/>
  </cols>
  <sheetData>
    <row r="1" spans="1:12" ht="17.399999999999999" x14ac:dyDescent="0.3">
      <c r="A1" s="37" t="s">
        <v>210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3" spans="1:12" s="43" customFormat="1" ht="26.4" x14ac:dyDescent="0.25">
      <c r="A3" s="42" t="s">
        <v>97</v>
      </c>
      <c r="B3" s="42" t="s">
        <v>211</v>
      </c>
      <c r="C3" s="42" t="s">
        <v>212</v>
      </c>
      <c r="D3" s="42" t="s">
        <v>213</v>
      </c>
      <c r="E3" s="42" t="s">
        <v>214</v>
      </c>
      <c r="F3" s="42" t="s">
        <v>215</v>
      </c>
      <c r="G3" s="42" t="s">
        <v>216</v>
      </c>
      <c r="H3" s="42" t="s">
        <v>217</v>
      </c>
      <c r="I3" s="42" t="s">
        <v>218</v>
      </c>
      <c r="J3" s="42" t="s">
        <v>219</v>
      </c>
      <c r="K3" s="42" t="s">
        <v>220</v>
      </c>
      <c r="L3" s="42" t="s">
        <v>221</v>
      </c>
    </row>
    <row r="4" spans="1:12" x14ac:dyDescent="0.25">
      <c r="A4" s="1" t="s">
        <v>75</v>
      </c>
      <c r="B4" s="1">
        <v>1</v>
      </c>
      <c r="C4" s="1" t="s">
        <v>1</v>
      </c>
      <c r="D4" s="1" t="s">
        <v>222</v>
      </c>
      <c r="E4" s="9"/>
      <c r="F4" s="9">
        <v>0</v>
      </c>
      <c r="G4" s="9">
        <v>120</v>
      </c>
      <c r="H4" s="8">
        <f t="shared" ref="H4:H18" si="0">G4-E4-F4</f>
        <v>120</v>
      </c>
      <c r="I4" s="8">
        <v>500</v>
      </c>
      <c r="J4" s="8">
        <f t="shared" ref="J4:J18" si="1">H4*I4</f>
        <v>60000</v>
      </c>
      <c r="K4" s="1" t="s">
        <v>1</v>
      </c>
      <c r="L4" s="1" t="s">
        <v>223</v>
      </c>
    </row>
    <row r="5" spans="1:12" x14ac:dyDescent="0.25">
      <c r="A5" s="1" t="s">
        <v>75</v>
      </c>
      <c r="B5" s="1">
        <v>2</v>
      </c>
      <c r="C5" s="1" t="s">
        <v>224</v>
      </c>
      <c r="D5" s="1" t="s">
        <v>222</v>
      </c>
      <c r="E5" s="9">
        <v>120</v>
      </c>
      <c r="F5" s="9">
        <v>5</v>
      </c>
      <c r="G5" s="9">
        <v>135</v>
      </c>
      <c r="H5" s="8">
        <f t="shared" si="0"/>
        <v>10</v>
      </c>
      <c r="I5" s="8">
        <v>500</v>
      </c>
      <c r="J5" s="8">
        <f t="shared" si="1"/>
        <v>5000</v>
      </c>
      <c r="K5" s="1" t="s">
        <v>10</v>
      </c>
      <c r="L5" s="1" t="s">
        <v>225</v>
      </c>
    </row>
    <row r="6" spans="1:12" ht="26.4" x14ac:dyDescent="0.25">
      <c r="A6" s="1" t="s">
        <v>75</v>
      </c>
      <c r="B6" s="1">
        <v>3</v>
      </c>
      <c r="C6" s="1" t="s">
        <v>226</v>
      </c>
      <c r="D6" s="1" t="s">
        <v>227</v>
      </c>
      <c r="E6" s="9">
        <v>135</v>
      </c>
      <c r="F6" s="9">
        <v>25</v>
      </c>
      <c r="G6" s="9">
        <v>180</v>
      </c>
      <c r="H6" s="8">
        <f t="shared" si="0"/>
        <v>20</v>
      </c>
      <c r="I6" s="8">
        <v>475</v>
      </c>
      <c r="J6" s="8">
        <f t="shared" si="1"/>
        <v>9500</v>
      </c>
      <c r="K6" s="1" t="s">
        <v>11</v>
      </c>
      <c r="L6" s="1" t="s">
        <v>228</v>
      </c>
    </row>
    <row r="7" spans="1:12" x14ac:dyDescent="0.25">
      <c r="A7" s="1" t="s">
        <v>75</v>
      </c>
      <c r="B7" s="1">
        <v>4</v>
      </c>
      <c r="C7" s="1" t="s">
        <v>19</v>
      </c>
      <c r="D7" s="1" t="s">
        <v>229</v>
      </c>
      <c r="E7" s="9">
        <v>180</v>
      </c>
      <c r="F7" s="9">
        <v>10</v>
      </c>
      <c r="G7" s="9">
        <v>200</v>
      </c>
      <c r="H7" s="8">
        <f t="shared" si="0"/>
        <v>10</v>
      </c>
      <c r="I7" s="8">
        <v>475</v>
      </c>
      <c r="J7" s="8">
        <f t="shared" si="1"/>
        <v>4750</v>
      </c>
      <c r="K7" s="1" t="s">
        <v>19</v>
      </c>
      <c r="L7" s="1" t="s">
        <v>230</v>
      </c>
    </row>
    <row r="8" spans="1:12" x14ac:dyDescent="0.25">
      <c r="A8" s="1" t="s">
        <v>75</v>
      </c>
      <c r="B8" s="1">
        <v>5</v>
      </c>
      <c r="C8" s="1" t="s">
        <v>0</v>
      </c>
      <c r="D8" s="1" t="s">
        <v>231</v>
      </c>
      <c r="E8" s="9">
        <v>200</v>
      </c>
      <c r="F8" s="9">
        <v>0</v>
      </c>
      <c r="G8" s="9">
        <v>240</v>
      </c>
      <c r="H8" s="8">
        <f t="shared" si="0"/>
        <v>40</v>
      </c>
      <c r="I8" s="8">
        <v>475</v>
      </c>
      <c r="J8" s="8">
        <f t="shared" si="1"/>
        <v>19000</v>
      </c>
      <c r="K8" s="1" t="s">
        <v>0</v>
      </c>
      <c r="L8" s="1" t="s">
        <v>232</v>
      </c>
    </row>
    <row r="9" spans="1:12" x14ac:dyDescent="0.25">
      <c r="A9" s="1" t="s">
        <v>84</v>
      </c>
      <c r="B9" s="1">
        <v>1</v>
      </c>
      <c r="C9" s="1" t="s">
        <v>1</v>
      </c>
      <c r="D9" s="1" t="s">
        <v>222</v>
      </c>
      <c r="E9" s="9"/>
      <c r="F9" s="9">
        <v>0</v>
      </c>
      <c r="G9" s="9">
        <v>120</v>
      </c>
      <c r="H9" s="8">
        <f t="shared" si="0"/>
        <v>120</v>
      </c>
      <c r="I9" s="8">
        <v>500</v>
      </c>
      <c r="J9" s="8">
        <f t="shared" si="1"/>
        <v>60000</v>
      </c>
      <c r="K9" s="1" t="s">
        <v>1</v>
      </c>
      <c r="L9" s="1" t="s">
        <v>233</v>
      </c>
    </row>
    <row r="10" spans="1:12" x14ac:dyDescent="0.25">
      <c r="A10" s="1" t="s">
        <v>84</v>
      </c>
      <c r="B10" s="1">
        <v>2</v>
      </c>
      <c r="C10" s="1" t="s">
        <v>234</v>
      </c>
      <c r="D10" s="1" t="s">
        <v>222</v>
      </c>
      <c r="E10" s="9">
        <v>120</v>
      </c>
      <c r="F10" s="9">
        <v>5</v>
      </c>
      <c r="G10" s="9">
        <v>135</v>
      </c>
      <c r="H10" s="8">
        <f t="shared" si="0"/>
        <v>10</v>
      </c>
      <c r="I10" s="8">
        <v>500</v>
      </c>
      <c r="J10" s="8">
        <f t="shared" si="1"/>
        <v>5000</v>
      </c>
      <c r="K10" s="1" t="s">
        <v>235</v>
      </c>
      <c r="L10" s="1" t="s">
        <v>236</v>
      </c>
    </row>
    <row r="11" spans="1:12" ht="26.4" x14ac:dyDescent="0.25">
      <c r="A11" s="1" t="s">
        <v>84</v>
      </c>
      <c r="B11" s="1">
        <v>3</v>
      </c>
      <c r="C11" s="1" t="s">
        <v>237</v>
      </c>
      <c r="D11" s="1" t="s">
        <v>238</v>
      </c>
      <c r="E11" s="9">
        <v>135</v>
      </c>
      <c r="F11" s="9">
        <v>20</v>
      </c>
      <c r="G11" s="9">
        <v>180</v>
      </c>
      <c r="H11" s="8">
        <f t="shared" si="0"/>
        <v>25</v>
      </c>
      <c r="I11" s="8">
        <v>475</v>
      </c>
      <c r="J11" s="8">
        <f t="shared" si="1"/>
        <v>11875</v>
      </c>
      <c r="K11" s="1" t="s">
        <v>239</v>
      </c>
      <c r="L11" s="1" t="s">
        <v>240</v>
      </c>
    </row>
    <row r="12" spans="1:12" ht="26.4" x14ac:dyDescent="0.25">
      <c r="A12" s="1" t="s">
        <v>84</v>
      </c>
      <c r="B12" s="1">
        <v>4</v>
      </c>
      <c r="C12" s="1" t="s">
        <v>241</v>
      </c>
      <c r="D12" s="1" t="s">
        <v>231</v>
      </c>
      <c r="E12" s="9">
        <v>180</v>
      </c>
      <c r="F12" s="9">
        <v>15</v>
      </c>
      <c r="G12" s="9">
        <v>200</v>
      </c>
      <c r="H12" s="8">
        <f t="shared" si="0"/>
        <v>5</v>
      </c>
      <c r="I12" s="8">
        <v>475</v>
      </c>
      <c r="J12" s="8">
        <f t="shared" si="1"/>
        <v>2375</v>
      </c>
      <c r="K12" s="1" t="s">
        <v>242</v>
      </c>
      <c r="L12" s="1" t="s">
        <v>243</v>
      </c>
    </row>
    <row r="13" spans="1:12" x14ac:dyDescent="0.25">
      <c r="A13" s="1" t="s">
        <v>84</v>
      </c>
      <c r="B13" s="1">
        <v>5</v>
      </c>
      <c r="C13" s="1" t="s">
        <v>0</v>
      </c>
      <c r="D13" s="1" t="s">
        <v>244</v>
      </c>
      <c r="E13" s="9">
        <v>200</v>
      </c>
      <c r="F13" s="9">
        <v>0</v>
      </c>
      <c r="G13" s="9">
        <v>240</v>
      </c>
      <c r="H13" s="8">
        <f t="shared" si="0"/>
        <v>40</v>
      </c>
      <c r="I13" s="8">
        <v>475</v>
      </c>
      <c r="J13" s="8">
        <f t="shared" si="1"/>
        <v>19000</v>
      </c>
      <c r="K13" s="1" t="s">
        <v>0</v>
      </c>
      <c r="L13" s="1" t="s">
        <v>245</v>
      </c>
    </row>
    <row r="14" spans="1:12" x14ac:dyDescent="0.25">
      <c r="A14" s="1" t="s">
        <v>89</v>
      </c>
      <c r="B14" s="1">
        <v>1</v>
      </c>
      <c r="C14" s="1" t="s">
        <v>1</v>
      </c>
      <c r="D14" s="1" t="s">
        <v>222</v>
      </c>
      <c r="E14" s="9"/>
      <c r="F14" s="9">
        <v>0</v>
      </c>
      <c r="G14" s="9">
        <v>135</v>
      </c>
      <c r="H14" s="8">
        <f t="shared" si="0"/>
        <v>135</v>
      </c>
      <c r="I14" s="8">
        <v>500</v>
      </c>
      <c r="J14" s="8">
        <f t="shared" si="1"/>
        <v>67500</v>
      </c>
      <c r="K14" s="1" t="s">
        <v>1</v>
      </c>
      <c r="L14" s="1" t="s">
        <v>246</v>
      </c>
    </row>
    <row r="15" spans="1:12" x14ac:dyDescent="0.25">
      <c r="A15" s="1" t="s">
        <v>89</v>
      </c>
      <c r="B15" s="1">
        <v>2</v>
      </c>
      <c r="C15" s="1" t="s">
        <v>247</v>
      </c>
      <c r="D15" s="1" t="s">
        <v>222</v>
      </c>
      <c r="E15" s="9">
        <v>135</v>
      </c>
      <c r="F15" s="9">
        <v>3</v>
      </c>
      <c r="G15" s="9">
        <v>145</v>
      </c>
      <c r="H15" s="8">
        <f t="shared" si="0"/>
        <v>7</v>
      </c>
      <c r="I15" s="8">
        <v>500</v>
      </c>
      <c r="J15" s="8">
        <f t="shared" si="1"/>
        <v>3500</v>
      </c>
      <c r="K15" s="1" t="s">
        <v>248</v>
      </c>
      <c r="L15" s="1" t="s">
        <v>249</v>
      </c>
    </row>
    <row r="16" spans="1:12" x14ac:dyDescent="0.25">
      <c r="A16" s="1" t="s">
        <v>89</v>
      </c>
      <c r="B16" s="1">
        <v>3</v>
      </c>
      <c r="C16" s="1" t="s">
        <v>250</v>
      </c>
      <c r="D16" s="1" t="s">
        <v>238</v>
      </c>
      <c r="E16" s="9">
        <v>145</v>
      </c>
      <c r="F16" s="9">
        <v>20</v>
      </c>
      <c r="G16" s="9">
        <v>190</v>
      </c>
      <c r="H16" s="8">
        <f t="shared" si="0"/>
        <v>25</v>
      </c>
      <c r="I16" s="8">
        <v>475</v>
      </c>
      <c r="J16" s="8">
        <f t="shared" si="1"/>
        <v>11875</v>
      </c>
      <c r="K16" s="1" t="s">
        <v>248</v>
      </c>
      <c r="L16" s="1" t="s">
        <v>251</v>
      </c>
    </row>
    <row r="17" spans="1:12" ht="26.4" x14ac:dyDescent="0.25">
      <c r="A17" s="1" t="s">
        <v>89</v>
      </c>
      <c r="B17" s="1">
        <v>4</v>
      </c>
      <c r="C17" s="1" t="s">
        <v>252</v>
      </c>
      <c r="D17" s="1" t="s">
        <v>253</v>
      </c>
      <c r="E17" s="9">
        <v>190</v>
      </c>
      <c r="F17" s="9">
        <v>43</v>
      </c>
      <c r="G17" s="9">
        <v>250</v>
      </c>
      <c r="H17" s="8">
        <f t="shared" si="0"/>
        <v>17</v>
      </c>
      <c r="I17" s="8">
        <v>475</v>
      </c>
      <c r="J17" s="8">
        <f t="shared" si="1"/>
        <v>8075</v>
      </c>
      <c r="K17" s="1" t="s">
        <v>248</v>
      </c>
      <c r="L17" s="1" t="s">
        <v>254</v>
      </c>
    </row>
    <row r="18" spans="1:12" x14ac:dyDescent="0.25">
      <c r="A18" s="1" t="s">
        <v>89</v>
      </c>
      <c r="B18" s="1">
        <v>5</v>
      </c>
      <c r="C18" s="1" t="s">
        <v>82</v>
      </c>
      <c r="D18" s="1" t="s">
        <v>255</v>
      </c>
      <c r="E18" s="9">
        <v>250</v>
      </c>
      <c r="F18" s="9">
        <v>0</v>
      </c>
      <c r="G18" s="9">
        <v>250</v>
      </c>
      <c r="H18" s="8">
        <f t="shared" si="0"/>
        <v>0</v>
      </c>
      <c r="I18" s="8">
        <v>475</v>
      </c>
      <c r="J18" s="8">
        <f t="shared" si="1"/>
        <v>0</v>
      </c>
      <c r="K18" s="1" t="s">
        <v>82</v>
      </c>
      <c r="L18" s="1" t="s">
        <v>256</v>
      </c>
    </row>
  </sheetData>
  <mergeCells count="1">
    <mergeCell ref="A1:L1"/>
  </mergeCells>
  <conditionalFormatting sqref="H4:J1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"/>
  <sheetViews>
    <sheetView topLeftCell="C1" workbookViewId="0">
      <selection activeCell="L15" sqref="L15"/>
    </sheetView>
  </sheetViews>
  <sheetFormatPr defaultRowHeight="13.2" x14ac:dyDescent="0.25"/>
  <cols>
    <col min="1" max="1" width="90.44140625" customWidth="1"/>
    <col min="2" max="2" width="63.6640625" customWidth="1"/>
    <col min="3" max="3" width="18.109375" customWidth="1"/>
    <col min="4" max="4" width="19.44140625" customWidth="1"/>
    <col min="5" max="5" width="18.88671875" customWidth="1"/>
    <col min="6" max="6" width="19.88671875" customWidth="1"/>
    <col min="7" max="7" width="14.77734375" customWidth="1"/>
    <col min="8" max="8" width="19.6640625" customWidth="1"/>
    <col min="9" max="9" width="18.88671875" customWidth="1"/>
    <col min="10" max="10" width="17.77734375" customWidth="1"/>
    <col min="11" max="11" width="12.6640625" customWidth="1"/>
    <col min="12" max="12" width="9.33203125" customWidth="1"/>
    <col min="13" max="13" width="17.109375" customWidth="1"/>
    <col min="14" max="14" width="15.6640625" customWidth="1"/>
    <col min="15" max="15" width="7.5546875" customWidth="1"/>
  </cols>
  <sheetData>
    <row r="1" spans="1:15" ht="17.399999999999999" x14ac:dyDescent="0.3">
      <c r="A1" s="37" t="s">
        <v>257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3" spans="1:15" s="43" customFormat="1" ht="26.4" x14ac:dyDescent="0.25">
      <c r="A3" s="42" t="s">
        <v>97</v>
      </c>
      <c r="B3" s="42" t="s">
        <v>57</v>
      </c>
      <c r="C3" s="42" t="s">
        <v>258</v>
      </c>
      <c r="D3" s="42" t="s">
        <v>259</v>
      </c>
      <c r="E3" s="42" t="s">
        <v>260</v>
      </c>
      <c r="F3" s="42" t="s">
        <v>261</v>
      </c>
      <c r="G3" s="42" t="s">
        <v>54</v>
      </c>
      <c r="H3" s="42" t="s">
        <v>262</v>
      </c>
      <c r="I3" s="42" t="s">
        <v>263</v>
      </c>
      <c r="J3" s="42" t="s">
        <v>264</v>
      </c>
      <c r="K3" s="42" t="s">
        <v>265</v>
      </c>
      <c r="L3" s="42" t="s">
        <v>266</v>
      </c>
      <c r="M3" s="42" t="s">
        <v>267</v>
      </c>
      <c r="N3" s="42" t="s">
        <v>268</v>
      </c>
      <c r="O3" s="42" t="s">
        <v>96</v>
      </c>
    </row>
    <row r="4" spans="1:15" x14ac:dyDescent="0.25">
      <c r="A4" s="1" t="s">
        <v>75</v>
      </c>
      <c r="B4" s="1" t="s">
        <v>269</v>
      </c>
      <c r="C4" s="8">
        <v>120</v>
      </c>
      <c r="D4" s="8">
        <f>C4-'01 Scenario_Editor'!$B$5</f>
        <v>0</v>
      </c>
      <c r="E4" s="8">
        <v>0</v>
      </c>
      <c r="F4" s="8">
        <v>0</v>
      </c>
      <c r="G4" s="8">
        <f t="shared" ref="G4:G10" si="0">E4-F4</f>
        <v>0</v>
      </c>
      <c r="H4" s="8">
        <f>'01 Scenario_Editor'!$B$4</f>
        <v>500</v>
      </c>
      <c r="I4" s="8">
        <f t="shared" ref="I4:I10" si="1">G4*H4</f>
        <v>0</v>
      </c>
      <c r="J4" s="8">
        <v>0</v>
      </c>
      <c r="K4" s="1">
        <v>4</v>
      </c>
      <c r="L4" s="1">
        <v>1</v>
      </c>
      <c r="M4" s="1">
        <v>4</v>
      </c>
      <c r="N4" s="10">
        <f>D4*'01 Scenario_Editor'!$K$5+G4*0.5*'01 Scenario_Editor'!$L$5+K4*20*'01 Scenario_Editor'!$M$5-(J4/10000)*'01 Scenario_Editor'!$N$5-L4*20*'01 Scenario_Editor'!$O$5+M4*20*'01 Scenario_Editor'!$P$5+IF(G4=0,-150,0)</f>
        <v>210</v>
      </c>
      <c r="O4" s="11">
        <f t="shared" ref="O4:O10" si="2">RANK(N4,$N$4:$N$10,0)</f>
        <v>6</v>
      </c>
    </row>
    <row r="5" spans="1:15" ht="26.4" x14ac:dyDescent="0.25">
      <c r="A5" s="1" t="s">
        <v>270</v>
      </c>
      <c r="B5" s="1" t="s">
        <v>271</v>
      </c>
      <c r="C5" s="8">
        <v>120</v>
      </c>
      <c r="D5" s="8">
        <f>C5-'01 Scenario_Editor'!$B$5</f>
        <v>0</v>
      </c>
      <c r="E5" s="8">
        <v>45</v>
      </c>
      <c r="F5" s="8">
        <f>'01 Scenario_Editor'!$B$9+'01 Scenario_Editor'!$B$10</f>
        <v>40</v>
      </c>
      <c r="G5" s="8">
        <f t="shared" si="0"/>
        <v>5</v>
      </c>
      <c r="H5" s="8">
        <f>'01 Scenario_Editor'!$B$4*0.75</f>
        <v>375</v>
      </c>
      <c r="I5" s="8">
        <f t="shared" si="1"/>
        <v>1875</v>
      </c>
      <c r="J5" s="8">
        <v>250000</v>
      </c>
      <c r="K5" s="1">
        <v>3</v>
      </c>
      <c r="L5" s="1">
        <v>2</v>
      </c>
      <c r="M5" s="1">
        <v>3</v>
      </c>
      <c r="N5" s="10">
        <f>D5*'01 Scenario_Editor'!$K$5+G5*0.5*'01 Scenario_Editor'!$L$5+K5*20*'01 Scenario_Editor'!$M$5-(J5/10000)*'01 Scenario_Editor'!$N$5-L5*20*'01 Scenario_Editor'!$O$5+M5*20*'01 Scenario_Editor'!$P$5+IF(G5=0,-150,0)</f>
        <v>180</v>
      </c>
      <c r="O5" s="11">
        <f t="shared" si="2"/>
        <v>7</v>
      </c>
    </row>
    <row r="6" spans="1:15" ht="26.4" x14ac:dyDescent="0.25">
      <c r="A6" s="1" t="s">
        <v>272</v>
      </c>
      <c r="B6" s="1" t="s">
        <v>273</v>
      </c>
      <c r="C6" s="8">
        <v>135</v>
      </c>
      <c r="D6" s="8">
        <f>C6-'01 Scenario_Editor'!$B$5</f>
        <v>15</v>
      </c>
      <c r="E6" s="8">
        <v>100</v>
      </c>
      <c r="F6" s="8">
        <f>'01 Scenario_Editor'!$B$8+'01 Scenario_Editor'!$B$10+'01 Scenario_Editor'!$B$13</f>
        <v>95</v>
      </c>
      <c r="G6" s="8">
        <f t="shared" si="0"/>
        <v>5</v>
      </c>
      <c r="H6" s="8">
        <f>'01 Scenario_Editor'!$B$4*0.5</f>
        <v>250</v>
      </c>
      <c r="I6" s="8">
        <f t="shared" si="1"/>
        <v>1250</v>
      </c>
      <c r="J6" s="8">
        <v>150000</v>
      </c>
      <c r="K6" s="1">
        <v>4</v>
      </c>
      <c r="L6" s="1">
        <v>3</v>
      </c>
      <c r="M6" s="1">
        <v>4</v>
      </c>
      <c r="N6" s="10">
        <f>D6*'01 Scenario_Editor'!$K$5+G6*0.5*'01 Scenario_Editor'!$L$5+K6*20*'01 Scenario_Editor'!$M$5-(J6/10000)*'01 Scenario_Editor'!$N$5-L6*20*'01 Scenario_Editor'!$O$5+M6*20*'01 Scenario_Editor'!$P$5+IF(G6=0,-150,0)</f>
        <v>320</v>
      </c>
      <c r="O6" s="11">
        <f t="shared" si="2"/>
        <v>4</v>
      </c>
    </row>
    <row r="7" spans="1:15" ht="26.4" x14ac:dyDescent="0.25">
      <c r="A7" s="1" t="s">
        <v>274</v>
      </c>
      <c r="B7" s="1" t="s">
        <v>275</v>
      </c>
      <c r="C7" s="8">
        <v>135</v>
      </c>
      <c r="D7" s="8">
        <f>C7-'01 Scenario_Editor'!$B$5</f>
        <v>15</v>
      </c>
      <c r="E7" s="8">
        <v>85</v>
      </c>
      <c r="F7" s="8">
        <f>'01 Scenario_Editor'!$B$8+'01 Scenario_Editor'!$B$11+'01 Scenario_Editor'!$B$12</f>
        <v>43</v>
      </c>
      <c r="G7" s="8">
        <f t="shared" si="0"/>
        <v>42</v>
      </c>
      <c r="H7" s="8">
        <f>'01 Scenario_Editor'!$B$4*0.8</f>
        <v>400</v>
      </c>
      <c r="I7" s="8">
        <f t="shared" si="1"/>
        <v>16800</v>
      </c>
      <c r="J7" s="8">
        <v>225000</v>
      </c>
      <c r="K7" s="1">
        <v>5</v>
      </c>
      <c r="L7" s="1">
        <v>2</v>
      </c>
      <c r="M7" s="1">
        <v>5</v>
      </c>
      <c r="N7" s="10">
        <f>D7*'01 Scenario_Editor'!$K$5+G7*0.5*'01 Scenario_Editor'!$L$5+K7*20*'01 Scenario_Editor'!$M$5-(J7/10000)*'01 Scenario_Editor'!$N$5-L7*20*'01 Scenario_Editor'!$O$5+M7*20*'01 Scenario_Editor'!$P$5+IF(G7=0,-150,0)</f>
        <v>519</v>
      </c>
      <c r="O7" s="11">
        <f t="shared" si="2"/>
        <v>1</v>
      </c>
    </row>
    <row r="8" spans="1:15" ht="26.4" x14ac:dyDescent="0.25">
      <c r="A8" s="1" t="s">
        <v>276</v>
      </c>
      <c r="B8" s="1" t="s">
        <v>277</v>
      </c>
      <c r="C8" s="8">
        <v>140</v>
      </c>
      <c r="D8" s="8">
        <f>C8-'01 Scenario_Editor'!$B$5</f>
        <v>20</v>
      </c>
      <c r="E8" s="8">
        <v>120</v>
      </c>
      <c r="F8" s="8">
        <f>'01 Scenario_Editor'!$B$8+'01 Scenario_Editor'!$B$9+'01 Scenario_Editor'!$B$10+'01 Scenario_Editor'!$B$11</f>
        <v>75</v>
      </c>
      <c r="G8" s="8">
        <f t="shared" si="0"/>
        <v>45</v>
      </c>
      <c r="H8" s="8">
        <f>'01 Scenario_Editor'!$B$4*0.7</f>
        <v>350</v>
      </c>
      <c r="I8" s="8">
        <f t="shared" si="1"/>
        <v>15750</v>
      </c>
      <c r="J8" s="8">
        <v>450000</v>
      </c>
      <c r="K8" s="1">
        <v>4</v>
      </c>
      <c r="L8" s="1">
        <v>4</v>
      </c>
      <c r="M8" s="1">
        <v>4</v>
      </c>
      <c r="N8" s="10">
        <f>D8*'01 Scenario_Editor'!$K$5+G8*0.5*'01 Scenario_Editor'!$L$5+K8*20*'01 Scenario_Editor'!$M$5-(J8/10000)*'01 Scenario_Editor'!$N$5-L8*20*'01 Scenario_Editor'!$O$5+M8*20*'01 Scenario_Editor'!$P$5+IF(G8=0,-150,0)</f>
        <v>320</v>
      </c>
      <c r="O8" s="11">
        <f t="shared" si="2"/>
        <v>4</v>
      </c>
    </row>
    <row r="9" spans="1:15" ht="26.4" x14ac:dyDescent="0.25">
      <c r="A9" s="1" t="s">
        <v>278</v>
      </c>
      <c r="B9" s="1" t="s">
        <v>279</v>
      </c>
      <c r="C9" s="8">
        <v>140</v>
      </c>
      <c r="D9" s="8">
        <f>C9-'01 Scenario_Editor'!$B$5</f>
        <v>20</v>
      </c>
      <c r="E9" s="8">
        <v>130</v>
      </c>
      <c r="F9" s="8">
        <f>'01 Scenario_Editor'!$B$8+'01 Scenario_Editor'!$B$9+'01 Scenario_Editor'!$B$10+('01 Scenario_Editor'!$B$12*0.4)+'01 Scenario_Editor'!$B$13*0.6</f>
        <v>87.2</v>
      </c>
      <c r="G9" s="8">
        <f t="shared" si="0"/>
        <v>42.8</v>
      </c>
      <c r="H9" s="8">
        <f>'01 Scenario_Editor'!$B$4*0.75</f>
        <v>375</v>
      </c>
      <c r="I9" s="8">
        <f t="shared" si="1"/>
        <v>16049.999999999998</v>
      </c>
      <c r="J9" s="8">
        <v>350000</v>
      </c>
      <c r="K9" s="1">
        <v>5</v>
      </c>
      <c r="L9" s="1">
        <v>3</v>
      </c>
      <c r="M9" s="1">
        <v>5</v>
      </c>
      <c r="N9" s="10">
        <f>D9*'01 Scenario_Editor'!$K$5+G9*0.5*'01 Scenario_Editor'!$L$5+K9*20*'01 Scenario_Editor'!$M$5-(J9/10000)*'01 Scenario_Editor'!$N$5-L9*20*'01 Scenario_Editor'!$O$5+M9*20*'01 Scenario_Editor'!$P$5+IF(G9=0,-150,0)</f>
        <v>475.6</v>
      </c>
      <c r="O9" s="11">
        <f t="shared" si="2"/>
        <v>2</v>
      </c>
    </row>
    <row r="10" spans="1:15" ht="26.4" x14ac:dyDescent="0.25">
      <c r="A10" s="1" t="s">
        <v>280</v>
      </c>
      <c r="B10" s="1" t="s">
        <v>281</v>
      </c>
      <c r="C10" s="8">
        <v>135</v>
      </c>
      <c r="D10" s="8">
        <f>C10-'01 Scenario_Editor'!$B$5</f>
        <v>15</v>
      </c>
      <c r="E10" s="8">
        <v>300</v>
      </c>
      <c r="F10" s="8">
        <v>120</v>
      </c>
      <c r="G10" s="8">
        <f t="shared" si="0"/>
        <v>180</v>
      </c>
      <c r="H10" s="8">
        <f>'01 Scenario_Editor'!$B$4*0.2</f>
        <v>100</v>
      </c>
      <c r="I10" s="8">
        <f t="shared" si="1"/>
        <v>18000</v>
      </c>
      <c r="J10" s="8">
        <v>600000</v>
      </c>
      <c r="K10" s="1">
        <v>3</v>
      </c>
      <c r="L10" s="1">
        <v>5</v>
      </c>
      <c r="M10" s="1">
        <v>2</v>
      </c>
      <c r="N10" s="10">
        <f>D10*'01 Scenario_Editor'!$K$5+G10*0.5*'01 Scenario_Editor'!$L$5+K10*20*'01 Scenario_Editor'!$M$5-(J10/10000)*'01 Scenario_Editor'!$N$5-L10*20*'01 Scenario_Editor'!$O$5+M10*20*'01 Scenario_Editor'!$P$5+IF(G10=0,-150,0)</f>
        <v>360</v>
      </c>
      <c r="O10" s="11">
        <f t="shared" si="2"/>
        <v>3</v>
      </c>
    </row>
  </sheetData>
  <mergeCells count="1">
    <mergeCell ref="A1:O1"/>
  </mergeCells>
  <conditionalFormatting sqref="N4:N1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"/>
  <sheetViews>
    <sheetView workbookViewId="0">
      <selection activeCell="B15" sqref="B15"/>
    </sheetView>
  </sheetViews>
  <sheetFormatPr defaultRowHeight="13.2" x14ac:dyDescent="0.25"/>
  <cols>
    <col min="1" max="1" width="27.21875" customWidth="1"/>
    <col min="2" max="2" width="34.88671875" customWidth="1"/>
    <col min="3" max="3" width="14.77734375" customWidth="1"/>
    <col min="4" max="4" width="18.88671875" customWidth="1"/>
    <col min="5" max="5" width="23" customWidth="1"/>
    <col min="6" max="6" width="30.21875" customWidth="1"/>
    <col min="7" max="7" width="21.88671875" customWidth="1"/>
    <col min="8" max="8" width="21.109375" customWidth="1"/>
    <col min="9" max="9" width="6.44140625" customWidth="1"/>
    <col min="10" max="10" width="28.21875" customWidth="1"/>
  </cols>
  <sheetData>
    <row r="1" spans="1:10" ht="17.399999999999999" x14ac:dyDescent="0.3">
      <c r="A1" s="37" t="s">
        <v>282</v>
      </c>
      <c r="B1" s="38"/>
      <c r="C1" s="38"/>
      <c r="D1" s="38"/>
      <c r="E1" s="38"/>
      <c r="F1" s="38"/>
      <c r="G1" s="38"/>
      <c r="H1" s="38"/>
      <c r="I1" s="38"/>
      <c r="J1" s="38"/>
    </row>
    <row r="3" spans="1:10" s="43" customFormat="1" ht="26.4" x14ac:dyDescent="0.25">
      <c r="A3" s="42" t="s">
        <v>3</v>
      </c>
      <c r="B3" s="42" t="s">
        <v>283</v>
      </c>
      <c r="C3" s="42" t="s">
        <v>284</v>
      </c>
      <c r="D3" s="42" t="s">
        <v>285</v>
      </c>
      <c r="E3" s="42" t="s">
        <v>286</v>
      </c>
      <c r="F3" s="42" t="s">
        <v>287</v>
      </c>
      <c r="G3" s="42" t="s">
        <v>288</v>
      </c>
      <c r="H3" s="42" t="s">
        <v>289</v>
      </c>
      <c r="I3" s="42" t="s">
        <v>290</v>
      </c>
      <c r="J3" s="42" t="s">
        <v>169</v>
      </c>
    </row>
    <row r="4" spans="1:10" ht="26.4" x14ac:dyDescent="0.25">
      <c r="A4" s="1" t="s">
        <v>291</v>
      </c>
      <c r="B4" s="1" t="s">
        <v>292</v>
      </c>
      <c r="C4" s="8">
        <v>25000</v>
      </c>
      <c r="D4" s="8">
        <v>75000</v>
      </c>
      <c r="E4" s="1" t="s">
        <v>171</v>
      </c>
      <c r="F4" s="1" t="s">
        <v>293</v>
      </c>
      <c r="G4" s="8">
        <v>3</v>
      </c>
      <c r="H4" s="1" t="s">
        <v>2</v>
      </c>
      <c r="I4" s="1" t="s">
        <v>202</v>
      </c>
      <c r="J4" s="1" t="s">
        <v>294</v>
      </c>
    </row>
    <row r="5" spans="1:10" ht="26.4" x14ac:dyDescent="0.25">
      <c r="A5" s="1" t="s">
        <v>295</v>
      </c>
      <c r="B5" s="1" t="s">
        <v>296</v>
      </c>
      <c r="C5" s="8">
        <v>50000</v>
      </c>
      <c r="D5" s="8">
        <v>250000</v>
      </c>
      <c r="E5" s="1" t="s">
        <v>171</v>
      </c>
      <c r="F5" s="1" t="s">
        <v>297</v>
      </c>
      <c r="G5" s="8">
        <v>8</v>
      </c>
      <c r="H5" s="1" t="s">
        <v>2</v>
      </c>
      <c r="I5" s="1" t="s">
        <v>202</v>
      </c>
      <c r="J5" s="1" t="s">
        <v>298</v>
      </c>
    </row>
    <row r="6" spans="1:10" ht="26.4" x14ac:dyDescent="0.25">
      <c r="A6" s="1" t="s">
        <v>299</v>
      </c>
      <c r="B6" s="1" t="s">
        <v>184</v>
      </c>
      <c r="C6" s="8">
        <v>0</v>
      </c>
      <c r="D6" s="8">
        <v>400000</v>
      </c>
      <c r="E6" s="1" t="s">
        <v>300</v>
      </c>
      <c r="F6" s="1" t="s">
        <v>301</v>
      </c>
      <c r="G6" s="8">
        <v>20</v>
      </c>
      <c r="H6" s="1" t="s">
        <v>302</v>
      </c>
      <c r="I6" s="1" t="s">
        <v>202</v>
      </c>
      <c r="J6" s="1" t="s">
        <v>303</v>
      </c>
    </row>
    <row r="7" spans="1:10" ht="26.4" x14ac:dyDescent="0.25">
      <c r="A7" s="1" t="s">
        <v>304</v>
      </c>
      <c r="B7" s="1" t="s">
        <v>305</v>
      </c>
      <c r="C7" s="8">
        <v>60000</v>
      </c>
      <c r="D7" s="8">
        <v>250000</v>
      </c>
      <c r="E7" s="1" t="s">
        <v>171</v>
      </c>
      <c r="F7" s="1" t="s">
        <v>306</v>
      </c>
      <c r="G7" s="8">
        <v>35</v>
      </c>
      <c r="H7" s="1" t="s">
        <v>2</v>
      </c>
      <c r="I7" s="1" t="s">
        <v>202</v>
      </c>
      <c r="J7" s="1" t="s">
        <v>307</v>
      </c>
    </row>
    <row r="8" spans="1:10" ht="26.4" x14ac:dyDescent="0.25">
      <c r="A8" s="1" t="s">
        <v>193</v>
      </c>
      <c r="B8" s="1" t="s">
        <v>308</v>
      </c>
      <c r="C8" s="8">
        <v>40000</v>
      </c>
      <c r="D8" s="8">
        <v>150000</v>
      </c>
      <c r="E8" s="1" t="s">
        <v>171</v>
      </c>
      <c r="F8" s="1" t="s">
        <v>309</v>
      </c>
      <c r="G8" s="8">
        <v>8</v>
      </c>
      <c r="H8" s="1" t="s">
        <v>2</v>
      </c>
      <c r="I8" s="1" t="s">
        <v>181</v>
      </c>
      <c r="J8" s="1" t="s">
        <v>310</v>
      </c>
    </row>
    <row r="9" spans="1:10" ht="26.4" x14ac:dyDescent="0.25">
      <c r="A9" s="1" t="s">
        <v>311</v>
      </c>
      <c r="B9" s="1" t="s">
        <v>312</v>
      </c>
      <c r="C9" s="8">
        <v>30000</v>
      </c>
      <c r="D9" s="8">
        <v>200000</v>
      </c>
      <c r="E9" s="1" t="s">
        <v>313</v>
      </c>
      <c r="F9" s="1" t="s">
        <v>314</v>
      </c>
      <c r="G9" s="8">
        <v>20</v>
      </c>
      <c r="H9" s="1" t="s">
        <v>315</v>
      </c>
      <c r="I9" s="1" t="s">
        <v>181</v>
      </c>
      <c r="J9" s="1" t="s">
        <v>316</v>
      </c>
    </row>
    <row r="10" spans="1:10" ht="26.4" x14ac:dyDescent="0.25">
      <c r="A10" s="1" t="s">
        <v>317</v>
      </c>
      <c r="B10" s="1" t="s">
        <v>318</v>
      </c>
      <c r="C10" s="8">
        <v>50000</v>
      </c>
      <c r="D10" s="8">
        <v>200000</v>
      </c>
      <c r="E10" s="1" t="s">
        <v>171</v>
      </c>
      <c r="F10" s="1" t="s">
        <v>319</v>
      </c>
      <c r="G10" s="8">
        <v>5</v>
      </c>
      <c r="H10" s="1" t="s">
        <v>320</v>
      </c>
      <c r="I10" s="1" t="s">
        <v>202</v>
      </c>
      <c r="J10" s="1" t="s">
        <v>321</v>
      </c>
    </row>
    <row r="11" spans="1:10" x14ac:dyDescent="0.25">
      <c r="A11" s="1" t="s">
        <v>322</v>
      </c>
      <c r="B11" s="1" t="s">
        <v>323</v>
      </c>
      <c r="C11" s="8">
        <v>100000</v>
      </c>
      <c r="D11" s="8">
        <v>500000</v>
      </c>
      <c r="E11" s="1" t="s">
        <v>324</v>
      </c>
      <c r="F11" s="1" t="s">
        <v>325</v>
      </c>
      <c r="G11" s="8">
        <v>80</v>
      </c>
      <c r="H11" s="1" t="s">
        <v>326</v>
      </c>
      <c r="I11" s="1" t="s">
        <v>175</v>
      </c>
      <c r="J11" s="1" t="s">
        <v>327</v>
      </c>
    </row>
  </sheetData>
  <mergeCells count="1">
    <mergeCell ref="A1:J1"/>
  </mergeCells>
  <conditionalFormatting sqref="I4:I11">
    <cfRule type="expression" dxfId="5" priority="1">
      <formula>I4="High"</formula>
    </cfRule>
    <cfRule type="expression" dxfId="4" priority="2">
      <formula>I4="Medium"</formula>
    </cfRule>
    <cfRule type="expression" dxfId="3" priority="3">
      <formula>I4="Low"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9"/>
  <sheetViews>
    <sheetView workbookViewId="0">
      <selection sqref="A1:H1"/>
    </sheetView>
  </sheetViews>
  <sheetFormatPr defaultRowHeight="13.2" x14ac:dyDescent="0.25"/>
  <cols>
    <col min="1" max="1" width="40.21875" customWidth="1"/>
    <col min="2" max="2" width="72.21875" customWidth="1"/>
    <col min="3" max="3" width="26.21875" customWidth="1"/>
    <col min="4" max="4" width="13.33203125" customWidth="1"/>
    <col min="5" max="5" width="15.88671875" customWidth="1"/>
    <col min="6" max="6" width="13.77734375" customWidth="1"/>
    <col min="7" max="7" width="6.44140625" customWidth="1"/>
    <col min="8" max="8" width="12.6640625" customWidth="1"/>
  </cols>
  <sheetData>
    <row r="1" spans="1:8" ht="17.399999999999999" x14ac:dyDescent="0.3">
      <c r="A1" s="37" t="s">
        <v>328</v>
      </c>
      <c r="B1" s="38"/>
      <c r="C1" s="38"/>
      <c r="D1" s="38"/>
      <c r="E1" s="38"/>
      <c r="F1" s="38"/>
      <c r="G1" s="38"/>
      <c r="H1" s="38"/>
    </row>
    <row r="3" spans="1:8" x14ac:dyDescent="0.25">
      <c r="A3" s="41" t="s">
        <v>329</v>
      </c>
      <c r="B3" s="38"/>
      <c r="C3" s="38"/>
      <c r="D3" s="38"/>
      <c r="E3" s="38"/>
      <c r="F3" s="38"/>
      <c r="G3" s="38"/>
      <c r="H3" s="38"/>
    </row>
    <row r="4" spans="1:8" ht="26.4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330</v>
      </c>
      <c r="F4" s="2" t="s">
        <v>331</v>
      </c>
      <c r="G4" s="2" t="s">
        <v>332</v>
      </c>
      <c r="H4" s="2" t="s">
        <v>333</v>
      </c>
    </row>
    <row r="5" spans="1:8" x14ac:dyDescent="0.25">
      <c r="A5" s="1" t="s">
        <v>7</v>
      </c>
      <c r="B5" s="1" t="s">
        <v>8</v>
      </c>
      <c r="C5" s="1" t="s">
        <v>334</v>
      </c>
      <c r="D5" s="1" t="s">
        <v>9</v>
      </c>
      <c r="E5" s="1"/>
      <c r="F5" s="1">
        <v>85</v>
      </c>
      <c r="G5" s="1"/>
      <c r="H5" s="1"/>
    </row>
    <row r="6" spans="1:8" x14ac:dyDescent="0.25">
      <c r="A6" s="1" t="s">
        <v>12</v>
      </c>
      <c r="B6" s="1" t="s">
        <v>13</v>
      </c>
      <c r="C6" s="1" t="s">
        <v>14</v>
      </c>
      <c r="D6" s="1" t="s">
        <v>15</v>
      </c>
      <c r="E6" s="1">
        <v>135</v>
      </c>
      <c r="F6" s="1">
        <v>160</v>
      </c>
      <c r="G6" s="1" t="s">
        <v>335</v>
      </c>
      <c r="H6" s="1" t="s">
        <v>16</v>
      </c>
    </row>
    <row r="7" spans="1:8" x14ac:dyDescent="0.25">
      <c r="A7" s="1" t="s">
        <v>17</v>
      </c>
      <c r="B7" s="1" t="s">
        <v>18</v>
      </c>
      <c r="C7" s="1" t="s">
        <v>19</v>
      </c>
      <c r="D7" s="1" t="s">
        <v>15</v>
      </c>
      <c r="E7" s="1">
        <v>155</v>
      </c>
      <c r="F7" s="1">
        <v>180</v>
      </c>
      <c r="G7" s="1"/>
      <c r="H7" s="1" t="s">
        <v>20</v>
      </c>
    </row>
    <row r="8" spans="1:8" x14ac:dyDescent="0.25">
      <c r="A8" s="1" t="s">
        <v>21</v>
      </c>
      <c r="B8" s="1" t="s">
        <v>22</v>
      </c>
      <c r="C8" s="1" t="s">
        <v>0</v>
      </c>
      <c r="D8" s="1" t="s">
        <v>15</v>
      </c>
      <c r="E8" s="1">
        <v>180</v>
      </c>
      <c r="F8" s="1">
        <v>200</v>
      </c>
      <c r="G8" s="1"/>
      <c r="H8" s="1" t="s">
        <v>23</v>
      </c>
    </row>
    <row r="9" spans="1:8" ht="26.4" x14ac:dyDescent="0.25">
      <c r="A9" s="1" t="s">
        <v>24</v>
      </c>
      <c r="B9" s="1" t="s">
        <v>25</v>
      </c>
      <c r="C9" s="1" t="s">
        <v>26</v>
      </c>
      <c r="D9" s="1" t="s">
        <v>15</v>
      </c>
      <c r="E9" s="1">
        <v>200</v>
      </c>
      <c r="F9" s="1">
        <v>250</v>
      </c>
      <c r="G9" s="1"/>
      <c r="H9" s="1" t="s">
        <v>27</v>
      </c>
    </row>
    <row r="12" spans="1:8" x14ac:dyDescent="0.25">
      <c r="A12" s="41" t="s">
        <v>336</v>
      </c>
      <c r="B12" s="38"/>
      <c r="C12" s="38"/>
      <c r="D12" s="38"/>
      <c r="E12" s="38"/>
      <c r="F12" s="38"/>
      <c r="G12" s="38"/>
      <c r="H12" s="38"/>
    </row>
    <row r="13" spans="1:8" x14ac:dyDescent="0.25">
      <c r="A13" s="2" t="s">
        <v>28</v>
      </c>
      <c r="B13" s="2" t="s">
        <v>29</v>
      </c>
    </row>
    <row r="14" spans="1:8" x14ac:dyDescent="0.25">
      <c r="A14" s="1" t="s">
        <v>30</v>
      </c>
      <c r="B14" s="1" t="s">
        <v>31</v>
      </c>
    </row>
    <row r="15" spans="1:8" x14ac:dyDescent="0.25">
      <c r="A15" s="1" t="s">
        <v>32</v>
      </c>
      <c r="B15" s="1" t="s">
        <v>33</v>
      </c>
    </row>
    <row r="16" spans="1:8" x14ac:dyDescent="0.25">
      <c r="A16" s="1" t="s">
        <v>34</v>
      </c>
      <c r="B16" s="1" t="s">
        <v>337</v>
      </c>
    </row>
    <row r="17" spans="1:8" x14ac:dyDescent="0.25">
      <c r="A17" s="1" t="s">
        <v>35</v>
      </c>
      <c r="B17" s="1" t="s">
        <v>338</v>
      </c>
    </row>
    <row r="18" spans="1:8" x14ac:dyDescent="0.25">
      <c r="A18" s="1" t="s">
        <v>36</v>
      </c>
      <c r="B18" s="1" t="s">
        <v>339</v>
      </c>
    </row>
    <row r="19" spans="1:8" x14ac:dyDescent="0.25">
      <c r="A19" s="1" t="s">
        <v>37</v>
      </c>
      <c r="B19" s="1" t="s">
        <v>340</v>
      </c>
    </row>
    <row r="20" spans="1:8" x14ac:dyDescent="0.25">
      <c r="A20" s="1" t="s">
        <v>40</v>
      </c>
      <c r="B20" s="1" t="s">
        <v>341</v>
      </c>
    </row>
    <row r="21" spans="1:8" ht="26.4" x14ac:dyDescent="0.25">
      <c r="A21" s="1" t="s">
        <v>43</v>
      </c>
      <c r="B21" s="1" t="s">
        <v>342</v>
      </c>
    </row>
    <row r="22" spans="1:8" x14ac:dyDescent="0.25">
      <c r="A22" s="1" t="s">
        <v>44</v>
      </c>
      <c r="B22" s="1" t="s">
        <v>45</v>
      </c>
    </row>
    <row r="23" spans="1:8" x14ac:dyDescent="0.25">
      <c r="A23" s="1" t="s">
        <v>38</v>
      </c>
      <c r="B23" s="1" t="s">
        <v>39</v>
      </c>
    </row>
    <row r="24" spans="1:8" x14ac:dyDescent="0.25">
      <c r="A24" s="1" t="s">
        <v>41</v>
      </c>
      <c r="B24" s="1" t="s">
        <v>42</v>
      </c>
    </row>
    <row r="27" spans="1:8" x14ac:dyDescent="0.25">
      <c r="A27" s="41" t="s">
        <v>343</v>
      </c>
      <c r="B27" s="38"/>
      <c r="C27" s="38"/>
      <c r="D27" s="38"/>
      <c r="E27" s="38"/>
      <c r="F27" s="38"/>
      <c r="G27" s="38"/>
      <c r="H27" s="38"/>
    </row>
    <row r="28" spans="1:8" ht="26.4" x14ac:dyDescent="0.25">
      <c r="A28" s="2" t="s">
        <v>344</v>
      </c>
      <c r="B28" s="2" t="s">
        <v>345</v>
      </c>
      <c r="C28" s="2" t="s">
        <v>346</v>
      </c>
      <c r="D28" s="2" t="s">
        <v>347</v>
      </c>
      <c r="E28" s="2" t="s">
        <v>348</v>
      </c>
      <c r="F28" s="2" t="s">
        <v>349</v>
      </c>
    </row>
    <row r="29" spans="1:8" x14ac:dyDescent="0.25">
      <c r="A29" s="1" t="s">
        <v>350</v>
      </c>
      <c r="B29" s="1">
        <v>120</v>
      </c>
      <c r="C29" s="1"/>
      <c r="D29" s="1"/>
      <c r="E29" s="1"/>
      <c r="F29" s="1">
        <v>120</v>
      </c>
    </row>
    <row r="30" spans="1:8" x14ac:dyDescent="0.25">
      <c r="A30" s="1" t="s">
        <v>351</v>
      </c>
      <c r="B30" s="1">
        <v>135</v>
      </c>
      <c r="C30" s="1"/>
      <c r="D30" s="1"/>
      <c r="E30" s="1"/>
      <c r="F30" s="1">
        <v>135</v>
      </c>
    </row>
    <row r="31" spans="1:8" x14ac:dyDescent="0.25">
      <c r="A31" s="1" t="s">
        <v>352</v>
      </c>
      <c r="B31" s="1">
        <v>180</v>
      </c>
      <c r="C31" s="1"/>
      <c r="D31" s="1"/>
      <c r="E31" s="1"/>
      <c r="F31" s="1">
        <v>180</v>
      </c>
    </row>
    <row r="32" spans="1:8" x14ac:dyDescent="0.25">
      <c r="A32" s="1" t="s">
        <v>353</v>
      </c>
      <c r="B32" s="1">
        <v>25</v>
      </c>
      <c r="C32" s="1"/>
      <c r="D32" s="1"/>
      <c r="E32" s="1" t="s">
        <v>354</v>
      </c>
      <c r="F32" s="1">
        <v>500</v>
      </c>
    </row>
    <row r="33" spans="1:6" x14ac:dyDescent="0.25">
      <c r="A33" s="1" t="s">
        <v>355</v>
      </c>
      <c r="B33" s="1">
        <v>50</v>
      </c>
      <c r="C33" s="1"/>
      <c r="D33" s="1"/>
      <c r="E33" s="1" t="s">
        <v>356</v>
      </c>
      <c r="F33" s="1">
        <v>500</v>
      </c>
    </row>
    <row r="34" spans="1:6" x14ac:dyDescent="0.25">
      <c r="A34" s="1" t="s">
        <v>357</v>
      </c>
      <c r="B34" s="1">
        <v>90</v>
      </c>
      <c r="C34" s="1"/>
      <c r="D34" s="1"/>
      <c r="E34" s="1" t="s">
        <v>358</v>
      </c>
      <c r="F34" s="1">
        <v>450</v>
      </c>
    </row>
    <row r="35" spans="1:6" x14ac:dyDescent="0.25">
      <c r="A35" s="1" t="s">
        <v>359</v>
      </c>
      <c r="B35" s="1">
        <v>200</v>
      </c>
      <c r="C35" s="1"/>
      <c r="D35" s="1"/>
      <c r="E35" s="1" t="s">
        <v>360</v>
      </c>
      <c r="F35" s="1">
        <v>200</v>
      </c>
    </row>
    <row r="36" spans="1:6" x14ac:dyDescent="0.25">
      <c r="A36" s="1" t="s">
        <v>361</v>
      </c>
      <c r="B36" s="1"/>
      <c r="C36" s="1">
        <v>4</v>
      </c>
      <c r="D36" s="1">
        <v>1</v>
      </c>
      <c r="E36" s="1">
        <v>5</v>
      </c>
      <c r="F36" s="1">
        <v>500</v>
      </c>
    </row>
    <row r="37" spans="1:6" x14ac:dyDescent="0.25">
      <c r="A37" s="1" t="s">
        <v>362</v>
      </c>
      <c r="B37" s="1"/>
      <c r="C37" s="1">
        <v>8.75</v>
      </c>
      <c r="D37" s="1">
        <v>1.25</v>
      </c>
      <c r="E37" s="1">
        <v>10</v>
      </c>
      <c r="F37" s="1">
        <v>500</v>
      </c>
    </row>
    <row r="38" spans="1:6" x14ac:dyDescent="0.25">
      <c r="A38" s="1" t="s">
        <v>363</v>
      </c>
      <c r="B38" s="1"/>
      <c r="C38" s="1">
        <v>44</v>
      </c>
      <c r="D38" s="1">
        <v>2</v>
      </c>
      <c r="E38" s="1">
        <v>46</v>
      </c>
      <c r="F38" s="1">
        <v>460</v>
      </c>
    </row>
    <row r="39" spans="1:6" x14ac:dyDescent="0.25">
      <c r="A39" s="1" t="s">
        <v>364</v>
      </c>
      <c r="B39" s="1"/>
      <c r="C39" s="1">
        <v>74</v>
      </c>
      <c r="D39" s="1">
        <v>2</v>
      </c>
      <c r="E39" s="1">
        <v>76</v>
      </c>
      <c r="F39" s="1">
        <v>380</v>
      </c>
    </row>
  </sheetData>
  <mergeCells count="4">
    <mergeCell ref="A1:H1"/>
    <mergeCell ref="A3:H3"/>
    <mergeCell ref="A12:H12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 Dashboard</vt:lpstr>
      <vt:lpstr>01 Scenario_Editor</vt:lpstr>
      <vt:lpstr>02 Nodes_Economics</vt:lpstr>
      <vt:lpstr>03 Pathway_Optimiser</vt:lpstr>
      <vt:lpstr>04 Investment_Planner</vt:lpstr>
      <vt:lpstr>05 Source_Snapshot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MUKHERJI</dc:creator>
  <cp:lastModifiedBy>TANMAY MUKHERJI</cp:lastModifiedBy>
  <dcterms:created xsi:type="dcterms:W3CDTF">2026-06-15T14:45:29Z</dcterms:created>
  <dcterms:modified xsi:type="dcterms:W3CDTF">2026-06-15T14:45:29Z</dcterms:modified>
</cp:coreProperties>
</file>